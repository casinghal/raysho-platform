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ide-by-Side Summary" sheetId="2" state="visible" r:id="rId4"/>
    <sheet name="Vendor A" sheetId="3" state="visible" r:id="rId5"/>
    <sheet name="Vendor B" sheetId="4" state="visible" r:id="rId6"/>
    <sheet name="Vendor C" sheetId="5" state="visible" r:id="rId7"/>
    <sheet name="Vendor D" sheetId="6" state="visible" r:id="rId8"/>
    <sheet name="Red Flag Catalogue" sheetId="7" state="visible" r:id="rId9"/>
    <sheet name="Interview Ques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<sst xmlns="http://schemas.openxmlformats.org/spreadsheetml/2006/main" count="428" uniqueCount="189">
  <si>
    <t xml:space="preserve">Vendor Selection Scorecard - Instructions</t>
  </si>
  <si>
    <t xml:space="preserve">Companion to the Raysho Vendor Selection Playbook. Use after the three conversations complete.</t>
  </si>
  <si>
    <t xml:space="preserve">HOW THIS SCORECARD WORKS</t>
  </si>
  <si>
    <t xml:space="preserve">Three conversations precede this scorecard. With the delivery manager (Conversation 1, 13 questions). With an independently located current client (Conversation 2, 14 questions). With the compliance officer (Conversation 3, 13 questions). See the 'Interview Questions' tab for the full question set.</t>
  </si>
  <si>
    <t xml:space="preserve">Up to four shortlisted vendors get one scorecard sheet each: Vendor A, Vendor B, Vendor C, Vendor D. For fewer vendors, leave the unused sheets empty. For more than four, duplicate one of the vendor sheets and rename.</t>
  </si>
  <si>
    <t xml:space="preserve">The 'Side-by-Side Summary' sheet reads from the four vendor sheets and produces the comparison view with a final shortlist verdict per vendor.</t>
  </si>
  <si>
    <t xml:space="preserve">SCORING DISCIPLINE</t>
  </si>
  <si>
    <t xml:space="preserve">Scores run 1 (poor) to 5 (strong). Half-scores (3.5, 4.5) are allowed. Every score needs a one-sentence justification in the adjacent cell, referencing a specific moment in one of the three conversations. A score without a justification is a gut call and will fail the review pass.</t>
  </si>
  <si>
    <t xml:space="preserve">The partner completes the scorecard alone, without the sales team present and without the shortlisted vendors present. Final review is the partner reading the justifications together with whoever else in the firm will carry the delivery relationship.</t>
  </si>
  <si>
    <t xml:space="preserve">CATEGORY WEIGHTS (FIXED)</t>
  </si>
  <si>
    <t xml:space="preserve">Delivery manager quality: 25% - Conversation 1 depth and specificity</t>
  </si>
  <si>
    <t xml:space="preserve">Client-reported delivery: 20% - Conversation 2 length and texture of answers</t>
  </si>
  <si>
    <t xml:space="preserve">Compliance and data handling: 20% - Conversation 3 document production during call</t>
  </si>
  <si>
    <t xml:space="preserve">Contract terms: 15% - willingness to accept the five clauses in playbook Section 7</t>
  </si>
  <si>
    <t xml:space="preserve">Price realism: 10% - price relative to scope without bundling tricks</t>
  </si>
  <si>
    <t xml:space="preserve">Cultural fit and communication style: 10% - aggregated across the three conversations</t>
  </si>
  <si>
    <t xml:space="preserve">SHORTLIST DECISION LOGIC</t>
  </si>
  <si>
    <t xml:space="preserve">Floor score: 3.50 weighted total. Below this, the vendor is not shortlisted regardless of individual strengths.</t>
  </si>
  <si>
    <t xml:space="preserve">Knockout criteria: Red flags 1, 3, 4, 5, and 12 trigger automatic exclusion regardless of weighted total. A vendor who scores well on every category but triggers a knockout flag is not shortlisted.</t>
  </si>
  <si>
    <t xml:space="preserve">Knockout red flags: (1) demo lead disappears after contract, (3) no named delivery manager before signature, (4) SOC 2 scope does not include delivery environment, (5) sub-processor list undisclosed, (12) no exit clause in contract.</t>
  </si>
  <si>
    <t xml:space="preserve">THE TWELVE RED FLAGS</t>
  </si>
  <si>
    <t xml:space="preserve">See the 'Red Flag Catalogue' tab for the full reference. Each red flag has a Yes / No checkbox on the vendor sheet. Yes on any of the five knockout flags triggers automatic exclusion.</t>
  </si>
  <si>
    <t xml:space="preserve">VERDICT OUTPUT</t>
  </si>
  <si>
    <t xml:space="preserve">Three possible outcomes per vendor:</t>
  </si>
  <si>
    <t xml:space="preserve">  SHORTLIST  - weighted total is 3.50 or above, and no knockout red flag triggered. The vendor earned the work.</t>
  </si>
  <si>
    <t xml:space="preserve">  BELOW FLOOR - weighted total is below 3.50. Not shortlisted on score alone.</t>
  </si>
  <si>
    <t xml:space="preserve">  KNOCKOUT - one or more knockout red flags triggered. Not shortlisted regardless of score.</t>
  </si>
  <si>
    <t xml:space="preserve">WHAT TO DO AFTER SCORING</t>
  </si>
  <si>
    <t xml:space="preserve">Shortlist only vendors that scored SHORTLIST on the verdict output. Negotiate the five contract clauses (see playbook Section 7) with the shortlisted vendors before final selection. A vendor who refuses all five clauses at contract has given the partner a fourteenth signal, and the decision can unwind.</t>
  </si>
  <si>
    <t xml:space="preserve">Archive the completed scorecard with the engagement file. This is the audit trail for why the vendor was chosen, and the reference point if the partner evaluates a replacement vendor later.</t>
  </si>
  <si>
    <t xml:space="preserve">VERSION</t>
  </si>
  <si>
    <t xml:space="preserve">v1.0 - 2026-04-21. Produced by Raysho. Companion to S-F-006 Vendor Selection Playbook. Redistribution permitted with attribution.</t>
  </si>
  <si>
    <t xml:space="preserve">Side-by-Side Summary</t>
  </si>
  <si>
    <t xml:space="preserve">Read-only view. Scores, red flags, and verdicts pull from the four vendor sheets.</t>
  </si>
  <si>
    <t xml:space="preserve">Metric</t>
  </si>
  <si>
    <t xml:space="preserve">Vendor A</t>
  </si>
  <si>
    <t xml:space="preserve">Vendor B</t>
  </si>
  <si>
    <t xml:space="preserve">Vendor C</t>
  </si>
  <si>
    <t xml:space="preserve">Vendor D</t>
  </si>
  <si>
    <t xml:space="preserve">Vendor name</t>
  </si>
  <si>
    <t xml:space="preserve">Weighted total (out of 5.00)</t>
  </si>
  <si>
    <t xml:space="preserve">Knockout triggered?</t>
  </si>
  <si>
    <t xml:space="preserve">FINAL VERDICT</t>
  </si>
  <si>
    <t xml:space="preserve">Decision rule: Only vendors showing SHORTLIST on the verdict row are taken to contract negotiation. Verify the five contract clauses (SLA enforcement, data ownership, exit clause, liability cap, SOC 2 maintenance) with each shortlisted vendor before final selection. A vendor refusing all five clauses at contract unwinds the decision.</t>
  </si>
  <si>
    <t xml:space="preserve">Vendor Scorecard - Vendor A</t>
  </si>
  <si>
    <t xml:space="preserve">Vendor identity and engagement scope</t>
  </si>
  <si>
    <t xml:space="preserve">HQ country</t>
  </si>
  <si>
    <t xml:space="preserve">Delivery country (where staff physically sit)</t>
  </si>
  <si>
    <t xml:space="preserve">Proposed engagement size (FTE or monthly fee)</t>
  </si>
  <si>
    <t xml:space="preserve">Date of Conversation 1 (delivery manager)</t>
  </si>
  <si>
    <t xml:space="preserve">Name of delivery manager interviewed</t>
  </si>
  <si>
    <t xml:space="preserve">Date of Conversation 2 (independent client)</t>
  </si>
  <si>
    <t xml:space="preserve">Name of client interviewed (how found)</t>
  </si>
  <si>
    <t xml:space="preserve">Date of Conversation 3 (compliance officer)</t>
  </si>
  <si>
    <t xml:space="preserve">Name of compliance officer interviewed</t>
  </si>
  <si>
    <t xml:space="preserve">SOC 2 report reviewed under NDA? (Y/N + date)</t>
  </si>
  <si>
    <t xml:space="preserve">Red flag knockout check (12 flags; flags 1, 3, 4, 5, 12 are knockout triggers)</t>
  </si>
  <si>
    <t xml:space="preserve">Red flag</t>
  </si>
  <si>
    <t xml:space="preserve">Trigger?</t>
  </si>
  <si>
    <t xml:space="preserve">Evidence from conversations</t>
  </si>
  <si>
    <t xml:space="preserve">Knockout?</t>
  </si>
  <si>
    <t xml:space="preserve">#1. Demo lead disappears after contract</t>
  </si>
  <si>
    <t xml:space="preserve">No</t>
  </si>
  <si>
    <t xml:space="preserve">KNOCKOUT</t>
  </si>
  <si>
    <t xml:space="preserve">#2. Reference clients all more than 2 years old</t>
  </si>
  <si>
    <t xml:space="preserve">#3. No named delivery manager before signature</t>
  </si>
  <si>
    <t xml:space="preserve">#4. SOC 2 scope does not include delivery environment</t>
  </si>
  <si>
    <t xml:space="preserve">#5. Sub-processor list undisclosed</t>
  </si>
  <si>
    <t xml:space="preserve">#6. No client termination history discussed</t>
  </si>
  <si>
    <t xml:space="preserve">#7. Vague answers on data export controls</t>
  </si>
  <si>
    <t xml:space="preserve">#8. Pricing bundled to prevent comparison</t>
  </si>
  <si>
    <t xml:space="preserve">#9. Exclusivity or minimum volume in first year</t>
  </si>
  <si>
    <t xml:space="preserve">#10. No written escalation process</t>
  </si>
  <si>
    <t xml:space="preserve">#11. Reference client is on vendor advisory board</t>
  </si>
  <si>
    <t xml:space="preserve">#12. No exit clause in contract</t>
  </si>
  <si>
    <t xml:space="preserve">Any knockout red flag triggered?</t>
  </si>
  <si>
    <t xml:space="preserve">Weighted scoring (1 = poor, 5 = strong; half-scores allowed)</t>
  </si>
  <si>
    <t xml:space="preserve">Category</t>
  </si>
  <si>
    <t xml:space="preserve">Score (1-5)</t>
  </si>
  <si>
    <t xml:space="preserve">Justification (one sentence, conversation reference)</t>
  </si>
  <si>
    <t xml:space="preserve">Weight</t>
  </si>
  <si>
    <t xml:space="preserve">Weighted</t>
  </si>
  <si>
    <t xml:space="preserve">Delivery manager quality</t>
  </si>
  <si>
    <t xml:space="preserve">[Conversation 1, question-by-question depth and specificity]</t>
  </si>
  <si>
    <t xml:space="preserve">Client-reported delivery</t>
  </si>
  <si>
    <t xml:space="preserve">[Conversation 2, length and texture of answers, question 14 response]</t>
  </si>
  <si>
    <t xml:space="preserve">Compliance and data handling</t>
  </si>
  <si>
    <t xml:space="preserve">[Conversation 3, document production during call, scope of SOC 2]</t>
  </si>
  <si>
    <t xml:space="preserve">Contract terms</t>
  </si>
  <si>
    <t xml:space="preserve">[Willingness to accept the five clauses in playbook Section 7]</t>
  </si>
  <si>
    <t xml:space="preserve">Price realism</t>
  </si>
  <si>
    <t xml:space="preserve">[Price relative to scope without bundling tricks]</t>
  </si>
  <si>
    <t xml:space="preserve">Cultural fit and communication style</t>
  </si>
  <si>
    <t xml:space="preserve">[Aggregated across the three conversations]</t>
  </si>
  <si>
    <t xml:space="preserve">Weight check (should total 100%)</t>
  </si>
  <si>
    <t xml:space="preserve">WEIGHTED TOTAL</t>
  </si>
  <si>
    <t xml:space="preserve">Sum of weighted scores (maximum 5.00; floor for shortlist is 3.50)</t>
  </si>
  <si>
    <t xml:space="preserve">Partner sign-off (name, date)</t>
  </si>
  <si>
    <t xml:space="preserve">Vendor Scorecard - Vendor B</t>
  </si>
  <si>
    <t xml:space="preserve">Vendor Scorecard - Vendor C</t>
  </si>
  <si>
    <t xml:space="preserve">Vendor Scorecard - Vendor D</t>
  </si>
  <si>
    <t xml:space="preserve">Red Flag Catalogue - Reference</t>
  </si>
  <si>
    <t xml:space="preserve">#</t>
  </si>
  <si>
    <t xml:space="preserve">Failure mode predicted</t>
  </si>
  <si>
    <t xml:space="preserve">Type</t>
  </si>
  <si>
    <t xml:space="preserve">Demo lead disappears after contract</t>
  </si>
  <si>
    <t xml:space="preserve">The vendor's best person is a sales asset, not a delivery asset.</t>
  </si>
  <si>
    <t xml:space="preserve">Reference clients all more than 2 years old</t>
  </si>
  <si>
    <t xml:space="preserve">Vendor is losing new clients faster than keeping old ones; partner is being asked to become the new logo.</t>
  </si>
  <si>
    <t xml:space="preserve">Flag</t>
  </si>
  <si>
    <t xml:space="preserve">No named delivery manager before signature</t>
  </si>
  <si>
    <t xml:space="preserve">Partner cannot verify the actual delivery resource until too late to change the decision.</t>
  </si>
  <si>
    <t xml:space="preserve">SOC 2 scope does not include delivery environment</t>
  </si>
  <si>
    <t xml:space="preserve">The compliance claim is technically true and operationally meaningless.</t>
  </si>
  <si>
    <t xml:space="preserve">Sub-processor list undisclosed</t>
  </si>
  <si>
    <t xml:space="preserve">Partner cannot assess downstream risk or do their own due diligence on any third party.</t>
  </si>
  <si>
    <t xml:space="preserve">No client termination history discussed</t>
  </si>
  <si>
    <t xml:space="preserve">Vendor is concealing the pattern or is not learning from it. Either case predicts repetition.</t>
  </si>
  <si>
    <t xml:space="preserve">Vague answers on data export controls</t>
  </si>
  <si>
    <t xml:space="preserve">The controls probably do not exist at the claimed level.</t>
  </si>
  <si>
    <t xml:space="preserve">Pricing bundled to prevent comparison</t>
  </si>
  <si>
    <t xml:space="preserve">Partner cannot see where value lives or renegotiate specific line items later.</t>
  </si>
  <si>
    <t xml:space="preserve">Exclusivity or minimum volume in first year</t>
  </si>
  <si>
    <t xml:space="preserve">Partner is locked in before delivery quality is proven.</t>
  </si>
  <si>
    <t xml:space="preserve">No written escalation process</t>
  </si>
  <si>
    <t xml:space="preserve">Escalation becomes an interpersonal negotiation every time, not a procedural one.</t>
  </si>
  <si>
    <t xml:space="preserve">Reference client is on vendor advisory board</t>
  </si>
  <si>
    <t xml:space="preserve">Reference is a fiduciary of the vendor and cannot speak freely.</t>
  </si>
  <si>
    <t xml:space="preserve">No exit clause in contract</t>
  </si>
  <si>
    <t xml:space="preserve">Leaving the vendor becomes an ordeal the partner does not want to pay for; staying becomes the default regardless of performance.</t>
  </si>
  <si>
    <t xml:space="preserve">The Three Conversations - 40 Interview Questions</t>
  </si>
  <si>
    <t xml:space="preserve">CONVERSATION 1 - Delivery manager (13 questions)</t>
  </si>
  <si>
    <t xml:space="preserve">Experience and fit</t>
  </si>
  <si>
    <t xml:space="preserve">Which three accounts on your current book look most like our firm in size, client mix, and complexity? Walk me through one of them from onboarding to current state.</t>
  </si>
  <si>
    <t xml:space="preserve">On that account, what was the hardest thing about the first ninety days, and what did you do about it?</t>
  </si>
  <si>
    <t xml:space="preserve">Which part of the onboarding tends to go slower than clients expect, and why?</t>
  </si>
  <si>
    <t xml:space="preserve">Process and discipline</t>
  </si>
  <si>
    <t xml:space="preserve">Describe your month-end close calendar for a typical client. Who owns which day, and what is the escalation if a day slips?</t>
  </si>
  <si>
    <t xml:space="preserve">Walk me through how you handle a bank feed that breaks on the third day of close week.</t>
  </si>
  <si>
    <t xml:space="preserve">What does your quality-control process look like? Who reviews whose work, and what percentage of closes get reviewed at what depth?</t>
  </si>
  <si>
    <t xml:space="preserve">How do you document exceptions and one-off client decisions so the next reviewer sees them?</t>
  </si>
  <si>
    <t xml:space="preserve">Communication and governance</t>
  </si>
  <si>
    <t xml:space="preserve">What is your standing cadence with a client partner? What is the agenda?</t>
  </si>
  <si>
    <t xml:space="preserve">When a close is going to miss the target date, when and how do you communicate that, and to whom?</t>
  </si>
  <si>
    <t xml:space="preserve">What is your approach to client data requests that arrive outside the monthly cycle? Describe the last ad-hoc request you handled and the turnaround.</t>
  </si>
  <si>
    <t xml:space="preserve">Judgement</t>
  </si>
  <si>
    <t xml:space="preserve">Describe a close where the numbers told you one story and the client's commentary told you another. How did you resolve it?</t>
  </si>
  <si>
    <t xml:space="preserve">What is a mistake your team has made in the last six months that you would want me to know about, and what did you put in place after it?</t>
  </si>
  <si>
    <t xml:space="preserve">If the engagement was offered to you today, what would you want in the statement of work that is not in the RFP?</t>
  </si>
  <si>
    <t xml:space="preserve">CONVERSATION 2 - Independently located current client (14 questions)</t>
  </si>
  <si>
    <t xml:space="preserve">How to find this client (not from the vendor's reference list)</t>
  </si>
  <si>
    <t xml:space="preserve">LinkedIn search for 'outsourced [vendor name]' or '[vendor name] accounting'. Industry-association member directories in the partner's space. Direct approach through a professional body (state CPA society, ICAEW, CPA Canada, CA ANZ) asking 'who in your network uses [vendor name] and would be willing to speak to someone evaluating them'. Cold approaches work when the partner states purpose, requests fifteen minutes, and offers reciprocity if possible.</t>
  </si>
  <si>
    <t xml:space="preserve">Onboarding experience</t>
  </si>
  <si>
    <t xml:space="preserve">How long did the onboarding actually take against the vendor's quoted timeline?</t>
  </si>
  <si>
    <t xml:space="preserve">What was the single biggest gap between what you expected and what showed up in the first ninety days?</t>
  </si>
  <si>
    <t xml:space="preserve">What would you do differently about the onboarding now, if you were starting again?</t>
  </si>
  <si>
    <t xml:space="preserve">Ongoing delivery</t>
  </si>
  <si>
    <t xml:space="preserve">How accurate is the monthly close against the committed calendar? Over the last year, how many closes slipped, and by how much?</t>
  </si>
  <si>
    <t xml:space="preserve">How much of your time, as the client partner, actually goes into the relationship each month?</t>
  </si>
  <si>
    <t xml:space="preserve">When the work is wrong, how is it wrong? What are the typical errors you find?</t>
  </si>
  <si>
    <t xml:space="preserve">Who on the vendor side gets your call when something is urgent? How quickly do they respond?</t>
  </si>
  <si>
    <t xml:space="preserve">Communication and escalation</t>
  </si>
  <si>
    <t xml:space="preserve">Has a delivery manager changed on you? How was that handled?</t>
  </si>
  <si>
    <t xml:space="preserve">Describe the worst incident in the relationship so far and how it was resolved.</t>
  </si>
  <si>
    <t xml:space="preserve">Do you feel the vendor hides problems from you, or surfaces them?</t>
  </si>
  <si>
    <t xml:space="preserve">Value and pricing</t>
  </si>
  <si>
    <t xml:space="preserve">How has pricing moved since you signed? What triggers repricing conversations?</t>
  </si>
  <si>
    <t xml:space="preserve">What is the vendor billing you for that you do not think you are getting value from?</t>
  </si>
  <si>
    <t xml:space="preserve">Counterfactual</t>
  </si>
  <si>
    <t xml:space="preserve">If you were shopping for a vendor today, would you pick this one again? Why or why not?</t>
  </si>
  <si>
    <t xml:space="preserve">If there is one thing you would warn me about before I sign, what is it?</t>
  </si>
  <si>
    <t xml:space="preserve">CONVERSATION 3 - Compliance officer (13 questions)</t>
  </si>
  <si>
    <t xml:space="preserve">SOC 2 or equivalent</t>
  </si>
  <si>
    <t xml:space="preserve">Which SOC 2 (or ISO 27001) report covers the environment my client data will sit in? What is the scope and the period? May I see the latest report under NDA?</t>
  </si>
  <si>
    <t xml:space="preserve">What were the exceptions in the most recent report, and what remediation was done?</t>
  </si>
  <si>
    <t xml:space="preserve">What is the re-testing cycle? When is the next report due?</t>
  </si>
  <si>
    <t xml:space="preserve">Data handling</t>
  </si>
  <si>
    <t xml:space="preserve">Where physically does my client data reside? Which country, which cloud region, which data centre?</t>
  </si>
  <si>
    <t xml:space="preserve">What are your data-export restrictions on your delivery staff? Describe the controls that prevent a delivery team member from moving a client file off your environment.</t>
  </si>
  <si>
    <t xml:space="preserve">Describe your sub-processor list. Which third parties get access to client data, for what purpose, and under what legal basis?</t>
  </si>
  <si>
    <t xml:space="preserve">How do you handle a client deletion request? Walk me through the sequence from request to confirmation.</t>
  </si>
  <si>
    <t xml:space="preserve">Jurisdictional and regulatory</t>
  </si>
  <si>
    <t xml:space="preserve">What is your DPDPA (India) or Data Privacy Act (Philippines) posture? How does it interact with my regulatory environment (state CPA rules, GDPR, CCPA)?</t>
  </si>
  <si>
    <t xml:space="preserve">Does any part of my client data fall under US state CPA licensure restrictions (non-attest work performed by non-licensed preparers in a non-US jurisdiction)? How do you handle the regulatory boundary?</t>
  </si>
  <si>
    <t xml:space="preserve">What is your breach notification policy? What is the notification timeline and who gets told?</t>
  </si>
  <si>
    <t xml:space="preserve">Governance</t>
  </si>
  <si>
    <t xml:space="preserve">How often do you test your incident response plan, and when was the last test?</t>
  </si>
  <si>
    <t xml:space="preserve">What is the background-check standard for the staff who will touch my client data?</t>
  </si>
  <si>
    <t xml:space="preserve">If I ask for an annual third-party audit of the environment my data sits in, is that available? At what cost?</t>
  </si>
</sst>
</file>

<file path=xl/styles.xml><?xml version="1.0" encoding="utf-8"?>
<styleSheet xmlns="http://schemas.openxmlformats.org/spreadsheetml/2006/main">
  <numFmts count="3">
    <numFmt numFmtId="164" formatCode="General"/>
    <numFmt numFmtId="165" formatCode="0.00"/>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10"/>
      <color rgb="FF0A0C12"/>
      <name val="Arial"/>
      <family val="0"/>
      <charset val="1"/>
    </font>
    <font>
      <sz val="10"/>
      <color rgb="FF0A0C12"/>
      <name val="Arial"/>
      <family val="0"/>
      <charset val="1"/>
    </font>
    <font>
      <b val="true"/>
      <sz val="14"/>
      <color rgb="FF0A0C12"/>
      <name val="Arial"/>
      <family val="0"/>
      <charset val="1"/>
    </font>
    <font>
      <i val="true"/>
      <sz val="9"/>
      <color rgb="FF595959"/>
      <name val="Arial"/>
      <family val="0"/>
      <charset val="1"/>
    </font>
    <font>
      <b val="true"/>
      <sz val="11"/>
      <color rgb="FFFFFFFF"/>
      <name val="Arial"/>
      <family val="0"/>
      <charset val="1"/>
    </font>
  </fonts>
  <fills count="8">
    <fill>
      <patternFill patternType="none"/>
    </fill>
    <fill>
      <patternFill patternType="gray125"/>
    </fill>
    <fill>
      <patternFill patternType="solid">
        <fgColor rgb="FF0A0C12"/>
        <bgColor rgb="FF000000"/>
      </patternFill>
    </fill>
    <fill>
      <patternFill patternType="solid">
        <fgColor rgb="FF828487"/>
        <bgColor rgb="FF969696"/>
      </patternFill>
    </fill>
    <fill>
      <patternFill patternType="solid">
        <fgColor rgb="FFF0EBE0"/>
        <bgColor rgb="FFF2F2F2"/>
      </patternFill>
    </fill>
    <fill>
      <patternFill patternType="solid">
        <fgColor rgb="FFF2F2F2"/>
        <bgColor rgb="FFF0EBE0"/>
      </patternFill>
    </fill>
    <fill>
      <patternFill patternType="solid">
        <fgColor rgb="FFFFFDE7"/>
        <bgColor rgb="FFFFFFFF"/>
      </patternFill>
    </fill>
    <fill>
      <patternFill patternType="solid">
        <fgColor rgb="FFFFD6D6"/>
        <bgColor rgb="FFFFE9B8"/>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true" applyAlignment="true" applyProtection="false">
      <alignment horizontal="left" vertical="top" textRotation="0" wrapText="true" indent="0" shrinkToFit="false"/>
      <protection locked="true" hidden="false"/>
    </xf>
    <xf numFmtId="164" fontId="10" fillId="3" borderId="0" xfId="0" applyFont="true" applyBorder="true" applyAlignment="true" applyProtection="false">
      <alignment horizontal="left" vertical="center" textRotation="0" wrapText="true" indent="0" shrinkToFit="false"/>
      <protection locked="true" hidden="false"/>
    </xf>
    <xf numFmtId="164" fontId="7" fillId="4" borderId="0" xfId="0" applyFont="true" applyBorder="fals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left" vertical="center" textRotation="0" wrapText="true" indent="0" shrinkToFit="false"/>
      <protection locked="true" hidden="false"/>
    </xf>
    <xf numFmtId="164" fontId="6" fillId="5" borderId="2"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6" fontId="0" fillId="5" borderId="1" xfId="0" applyFont="fals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6" fontId="9" fillId="5" borderId="0" xfId="0" applyFont="true" applyBorder="fals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D9F0D3"/>
        </patternFill>
      </fill>
    </dxf>
    <dxf>
      <fill>
        <patternFill>
          <bgColor rgb="FFFFD6D6"/>
        </patternFill>
      </fill>
    </dxf>
    <dxf>
      <fill>
        <patternFill>
          <bgColor rgb="FFFFE9B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28487"/>
      <rgbColor rgb="FF9999FF"/>
      <rgbColor rgb="FF993366"/>
      <rgbColor rgb="FFFFFDE7"/>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0EBE0"/>
      <rgbColor rgb="FFD9F0D3"/>
      <rgbColor rgb="FFFFE9B8"/>
      <rgbColor rgb="FF99CCFF"/>
      <rgbColor rgb="FFFF99CC"/>
      <rgbColor rgb="FFCC99FF"/>
      <rgbColor rgb="FFFFD6D6"/>
      <rgbColor rgb="FF3366FF"/>
      <rgbColor rgb="FF33CCCC"/>
      <rgbColor rgb="FF99CC00"/>
      <rgbColor rgb="FFFFCC00"/>
      <rgbColor rgb="FFFF9900"/>
      <rgbColor rgb="FFFF6600"/>
      <rgbColor rgb="FF595959"/>
      <rgbColor rgb="FF969696"/>
      <rgbColor rgb="FF003366"/>
      <rgbColor rgb="FF339966"/>
      <rgbColor rgb="FF0A0C12"/>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95"/>
  </cols>
  <sheetData>
    <row r="1" customFormat="false" ht="15" hidden="false" customHeight="true" outlineLevel="0" collapsed="false">
      <c r="A1" s="1" t="s">
        <v>0</v>
      </c>
      <c r="B1" s="1"/>
    </row>
    <row r="2" customFormat="false" ht="15" hidden="false" customHeight="false" outlineLevel="0" collapsed="false">
      <c r="A2" s="1"/>
      <c r="B2" s="1"/>
    </row>
    <row r="3" customFormat="false" ht="15" hidden="false" customHeight="true" outlineLevel="0" collapsed="false">
      <c r="A3" s="2" t="s">
        <v>1</v>
      </c>
      <c r="B3" s="2"/>
    </row>
    <row r="4" customFormat="false" ht="18" hidden="false" customHeight="true" outlineLevel="0" collapsed="false"/>
    <row r="5" customFormat="false" ht="18" hidden="false" customHeight="true" outlineLevel="0" collapsed="false">
      <c r="A5" s="3" t="s">
        <v>2</v>
      </c>
      <c r="B5" s="3"/>
    </row>
    <row r="6" customFormat="false" ht="18" hidden="false" customHeight="true" outlineLevel="0" collapsed="false"/>
    <row r="7" customFormat="false" ht="31.5" hidden="false" customHeight="true" outlineLevel="0" collapsed="false">
      <c r="B7" s="4" t="s">
        <v>3</v>
      </c>
    </row>
    <row r="8" customFormat="false" ht="31.5" hidden="false" customHeight="true" outlineLevel="0" collapsed="false">
      <c r="B8" s="4" t="s">
        <v>4</v>
      </c>
    </row>
    <row r="9" customFormat="false" ht="31.5" hidden="false" customHeight="true" outlineLevel="0" collapsed="false">
      <c r="B9" s="4" t="s">
        <v>5</v>
      </c>
    </row>
    <row r="10" customFormat="false" ht="18" hidden="false" customHeight="true" outlineLevel="0" collapsed="false"/>
    <row r="11" customFormat="false" ht="18" hidden="false" customHeight="true" outlineLevel="0" collapsed="false">
      <c r="A11" s="3" t="s">
        <v>6</v>
      </c>
      <c r="B11" s="3"/>
    </row>
    <row r="12" customFormat="false" ht="18" hidden="false" customHeight="true" outlineLevel="0" collapsed="false"/>
    <row r="13" customFormat="false" ht="31.5" hidden="false" customHeight="true" outlineLevel="0" collapsed="false">
      <c r="B13" s="4" t="s">
        <v>7</v>
      </c>
    </row>
    <row r="14" customFormat="false" ht="31.5" hidden="false" customHeight="true" outlineLevel="0" collapsed="false">
      <c r="B14" s="4" t="s">
        <v>8</v>
      </c>
    </row>
    <row r="15" customFormat="false" ht="18" hidden="false" customHeight="true" outlineLevel="0" collapsed="false"/>
    <row r="16" customFormat="false" ht="18" hidden="false" customHeight="true" outlineLevel="0" collapsed="false">
      <c r="A16" s="3" t="s">
        <v>9</v>
      </c>
      <c r="B16" s="3"/>
    </row>
    <row r="17" customFormat="false" ht="18" hidden="false" customHeight="true" outlineLevel="0" collapsed="false"/>
    <row r="18" customFormat="false" ht="31.5" hidden="false" customHeight="true" outlineLevel="0" collapsed="false">
      <c r="B18" s="4" t="s">
        <v>10</v>
      </c>
    </row>
    <row r="19" customFormat="false" ht="31.5" hidden="false" customHeight="true" outlineLevel="0" collapsed="false">
      <c r="B19" s="4" t="s">
        <v>11</v>
      </c>
    </row>
    <row r="20" customFormat="false" ht="31.5" hidden="false" customHeight="true" outlineLevel="0" collapsed="false">
      <c r="B20" s="4" t="s">
        <v>12</v>
      </c>
    </row>
    <row r="21" customFormat="false" ht="31.5" hidden="false" customHeight="true" outlineLevel="0" collapsed="false">
      <c r="B21" s="4" t="s">
        <v>13</v>
      </c>
    </row>
    <row r="22" customFormat="false" ht="31.5" hidden="false" customHeight="true" outlineLevel="0" collapsed="false">
      <c r="B22" s="4" t="s">
        <v>14</v>
      </c>
    </row>
    <row r="23" customFormat="false" ht="31.5" hidden="false" customHeight="true" outlineLevel="0" collapsed="false">
      <c r="B23" s="4" t="s">
        <v>15</v>
      </c>
    </row>
    <row r="24" customFormat="false" ht="18" hidden="false" customHeight="true" outlineLevel="0" collapsed="false"/>
    <row r="25" customFormat="false" ht="18" hidden="false" customHeight="true" outlineLevel="0" collapsed="false">
      <c r="A25" s="3" t="s">
        <v>16</v>
      </c>
      <c r="B25" s="3"/>
    </row>
    <row r="26" customFormat="false" ht="18" hidden="false" customHeight="true" outlineLevel="0" collapsed="false"/>
    <row r="27" customFormat="false" ht="31.5" hidden="false" customHeight="true" outlineLevel="0" collapsed="false">
      <c r="B27" s="4" t="s">
        <v>17</v>
      </c>
    </row>
    <row r="28" customFormat="false" ht="31.5" hidden="false" customHeight="true" outlineLevel="0" collapsed="false">
      <c r="B28" s="4" t="s">
        <v>18</v>
      </c>
    </row>
    <row r="29" customFormat="false" ht="31.5" hidden="false" customHeight="true" outlineLevel="0" collapsed="false">
      <c r="B29" s="4" t="s">
        <v>19</v>
      </c>
    </row>
    <row r="30" customFormat="false" ht="18" hidden="false" customHeight="true" outlineLevel="0" collapsed="false"/>
    <row r="31" customFormat="false" ht="18" hidden="false" customHeight="true" outlineLevel="0" collapsed="false">
      <c r="A31" s="3" t="s">
        <v>20</v>
      </c>
      <c r="B31" s="3"/>
    </row>
    <row r="32" customFormat="false" ht="18" hidden="false" customHeight="true" outlineLevel="0" collapsed="false"/>
    <row r="33" customFormat="false" ht="31.5" hidden="false" customHeight="true" outlineLevel="0" collapsed="false">
      <c r="B33" s="4" t="s">
        <v>21</v>
      </c>
    </row>
    <row r="34" customFormat="false" ht="18" hidden="false" customHeight="true" outlineLevel="0" collapsed="false"/>
    <row r="35" customFormat="false" ht="18" hidden="false" customHeight="true" outlineLevel="0" collapsed="false">
      <c r="A35" s="3" t="s">
        <v>22</v>
      </c>
      <c r="B35" s="3"/>
    </row>
    <row r="36" customFormat="false" ht="18" hidden="false" customHeight="true" outlineLevel="0" collapsed="false"/>
    <row r="37" customFormat="false" ht="31.5" hidden="false" customHeight="true" outlineLevel="0" collapsed="false">
      <c r="B37" s="4" t="s">
        <v>23</v>
      </c>
    </row>
    <row r="38" customFormat="false" ht="31.5" hidden="false" customHeight="true" outlineLevel="0" collapsed="false">
      <c r="B38" s="4" t="s">
        <v>24</v>
      </c>
    </row>
    <row r="39" customFormat="false" ht="31.5" hidden="false" customHeight="true" outlineLevel="0" collapsed="false">
      <c r="B39" s="4" t="s">
        <v>25</v>
      </c>
    </row>
    <row r="40" customFormat="false" ht="31.5" hidden="false" customHeight="true" outlineLevel="0" collapsed="false">
      <c r="B40" s="4" t="s">
        <v>26</v>
      </c>
    </row>
    <row r="41" customFormat="false" ht="18" hidden="false" customHeight="true" outlineLevel="0" collapsed="false"/>
    <row r="42" customFormat="false" ht="18" hidden="false" customHeight="true" outlineLevel="0" collapsed="false">
      <c r="A42" s="3" t="s">
        <v>27</v>
      </c>
      <c r="B42" s="3"/>
    </row>
    <row r="43" customFormat="false" ht="18" hidden="false" customHeight="true" outlineLevel="0" collapsed="false"/>
    <row r="44" customFormat="false" ht="31.5" hidden="false" customHeight="true" outlineLevel="0" collapsed="false">
      <c r="B44" s="4" t="s">
        <v>28</v>
      </c>
    </row>
    <row r="45" customFormat="false" ht="31.5" hidden="false" customHeight="true" outlineLevel="0" collapsed="false">
      <c r="B45" s="4" t="s">
        <v>29</v>
      </c>
    </row>
    <row r="46" customFormat="false" ht="18" hidden="false" customHeight="true" outlineLevel="0" collapsed="false"/>
    <row r="47" customFormat="false" ht="18" hidden="false" customHeight="true" outlineLevel="0" collapsed="false">
      <c r="A47" s="3" t="s">
        <v>30</v>
      </c>
      <c r="B47" s="3"/>
    </row>
    <row r="48" customFormat="false" ht="18" hidden="false" customHeight="true" outlineLevel="0" collapsed="false"/>
    <row r="49" customFormat="false" ht="31.5" hidden="false" customHeight="true" outlineLevel="0" collapsed="false">
      <c r="B49" s="4" t="s">
        <v>31</v>
      </c>
    </row>
  </sheetData>
  <mergeCells count="10">
    <mergeCell ref="A1:B2"/>
    <mergeCell ref="A3:B3"/>
    <mergeCell ref="A5:B5"/>
    <mergeCell ref="A11:B11"/>
    <mergeCell ref="A16:B16"/>
    <mergeCell ref="A25:B25"/>
    <mergeCell ref="A31:B31"/>
    <mergeCell ref="A35:B35"/>
    <mergeCell ref="A42:B42"/>
    <mergeCell ref="A47:B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6" min="3" style="0" width="28"/>
  </cols>
  <sheetData>
    <row r="1" customFormat="false" ht="15" hidden="false" customHeight="true" outlineLevel="0" collapsed="false">
      <c r="A1" s="1" t="s">
        <v>32</v>
      </c>
      <c r="B1" s="1"/>
      <c r="C1" s="1"/>
      <c r="D1" s="1"/>
      <c r="E1" s="1"/>
      <c r="F1" s="1"/>
    </row>
    <row r="2" customFormat="false" ht="15" hidden="false" customHeight="false" outlineLevel="0" collapsed="false">
      <c r="A2" s="1"/>
      <c r="B2" s="1"/>
      <c r="C2" s="1"/>
      <c r="D2" s="1"/>
      <c r="E2" s="1"/>
      <c r="F2" s="1"/>
    </row>
    <row r="3" customFormat="false" ht="15" hidden="false" customHeight="true" outlineLevel="0" collapsed="false">
      <c r="A3" s="2" t="s">
        <v>33</v>
      </c>
      <c r="B3" s="2"/>
      <c r="C3" s="2"/>
      <c r="D3" s="2"/>
      <c r="E3" s="2"/>
      <c r="F3" s="2"/>
    </row>
    <row r="5" customFormat="false" ht="15" hidden="false" customHeight="false" outlineLevel="0" collapsed="false">
      <c r="B5" s="5" t="s">
        <v>34</v>
      </c>
      <c r="C5" s="5" t="s">
        <v>35</v>
      </c>
      <c r="D5" s="5" t="s">
        <v>36</v>
      </c>
      <c r="E5" s="5" t="s">
        <v>37</v>
      </c>
      <c r="F5" s="5" t="s">
        <v>38</v>
      </c>
    </row>
    <row r="6" customFormat="false" ht="30" hidden="false" customHeight="true" outlineLevel="0" collapsed="false">
      <c r="B6" s="6" t="s">
        <v>39</v>
      </c>
      <c r="C6" s="7" t="n">
        <f aca="false">'Vendor A'!C4</f>
        <v>0</v>
      </c>
      <c r="D6" s="7" t="n">
        <f aca="false">'Vendor B'!C4</f>
        <v>0</v>
      </c>
      <c r="E6" s="7" t="n">
        <f aca="false">'Vendor C'!C4</f>
        <v>0</v>
      </c>
      <c r="F6" s="7" t="n">
        <f aca="false">'Vendor D'!C4</f>
        <v>0</v>
      </c>
    </row>
    <row r="7" customFormat="false" ht="30" hidden="false" customHeight="true" outlineLevel="0" collapsed="false">
      <c r="B7" s="6" t="s">
        <v>40</v>
      </c>
      <c r="C7" s="8" t="n">
        <f aca="false">'Vendor A'!F42</f>
        <v>0</v>
      </c>
      <c r="D7" s="8" t="n">
        <f aca="false">'Vendor B'!F42</f>
        <v>0</v>
      </c>
      <c r="E7" s="8" t="n">
        <f aca="false">'Vendor C'!F42</f>
        <v>0</v>
      </c>
      <c r="F7" s="8" t="n">
        <f aca="false">'Vendor D'!F42</f>
        <v>0</v>
      </c>
    </row>
    <row r="8" customFormat="false" ht="30" hidden="false" customHeight="true" outlineLevel="0" collapsed="false">
      <c r="B8" s="6" t="s">
        <v>41</v>
      </c>
      <c r="C8" s="7" t="str">
        <f aca="false">'Vendor A'!C31</f>
        <v>No</v>
      </c>
      <c r="D8" s="7" t="str">
        <f aca="false">'Vendor B'!C31</f>
        <v>No</v>
      </c>
      <c r="E8" s="7" t="str">
        <f aca="false">'Vendor C'!C31</f>
        <v>No</v>
      </c>
      <c r="F8" s="7" t="str">
        <f aca="false">'Vendor D'!C31</f>
        <v>No</v>
      </c>
    </row>
    <row r="9" customFormat="false" ht="30" hidden="false" customHeight="true" outlineLevel="0" collapsed="false">
      <c r="B9" s="6" t="s">
        <v>42</v>
      </c>
      <c r="C9" s="9" t="str">
        <f aca="false">'Vendor A'!B45</f>
        <v>Awaiting scores</v>
      </c>
      <c r="D9" s="9" t="str">
        <f aca="false">'Vendor B'!B45</f>
        <v>Awaiting scores</v>
      </c>
      <c r="E9" s="9" t="str">
        <f aca="false">'Vendor C'!B45</f>
        <v>Awaiting scores</v>
      </c>
      <c r="F9" s="9" t="str">
        <f aca="false">'Vendor D'!B45</f>
        <v>Awaiting scores</v>
      </c>
    </row>
    <row r="12" customFormat="false" ht="60" hidden="false" customHeight="true" outlineLevel="0" collapsed="false">
      <c r="B12" s="10" t="s">
        <v>43</v>
      </c>
      <c r="C12" s="10"/>
      <c r="D12" s="10"/>
      <c r="E12" s="10"/>
      <c r="F12" s="10"/>
    </row>
  </sheetData>
  <mergeCells count="3">
    <mergeCell ref="A1:F2"/>
    <mergeCell ref="A3:F3"/>
    <mergeCell ref="B12:F12"/>
  </mergeCells>
  <conditionalFormatting sqref="C9:F9">
    <cfRule type="expression" priority="2" aboveAverage="0" equalAverage="0" bottom="0" percent="0" rank="0" text="" dxfId="0">
      <formula>ISNUMBER(SEARCH("SHORTLIST",C9))</formula>
    </cfRule>
    <cfRule type="expression" priority="3" aboveAverage="0" equalAverage="0" bottom="0" percent="0" rank="0" text="" dxfId="1">
      <formula>ISNUMBER(SEARCH("KNOCKOUT",C9))</formula>
    </cfRule>
    <cfRule type="expression" priority="4" aboveAverage="0" equalAverage="0" bottom="0" percent="0" rank="0" text="" dxfId="2">
      <formula>ISNUMBER(SEARCH("BELOW FLOOR",C9))</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2"/>
    <col collapsed="false" customWidth="true" hidden="false" outlineLevel="0" max="4" min="4" style="0" width="60"/>
    <col collapsed="false" customWidth="true" hidden="false" outlineLevel="0" max="5" min="5" style="0" width="10"/>
    <col collapsed="false" customWidth="true" hidden="false" outlineLevel="0" max="6" min="6" style="0" width="12"/>
  </cols>
  <sheetData>
    <row r="1" customFormat="false" ht="15" hidden="false" customHeight="true" outlineLevel="0" collapsed="false">
      <c r="A1" s="1" t="s">
        <v>44</v>
      </c>
      <c r="B1" s="1"/>
      <c r="C1" s="1"/>
      <c r="D1" s="1"/>
      <c r="E1" s="1"/>
      <c r="F1" s="1"/>
    </row>
    <row r="2" customFormat="false" ht="15" hidden="false" customHeight="false" outlineLevel="0" collapsed="false">
      <c r="A2" s="1"/>
      <c r="B2" s="1"/>
      <c r="C2" s="1"/>
      <c r="D2" s="1"/>
      <c r="E2" s="1"/>
      <c r="F2" s="1"/>
    </row>
    <row r="3" customFormat="false" ht="15" hidden="false" customHeight="true" outlineLevel="0" collapsed="false">
      <c r="A3" s="11" t="s">
        <v>45</v>
      </c>
      <c r="B3" s="11"/>
      <c r="C3" s="11"/>
      <c r="D3" s="11"/>
      <c r="E3" s="11"/>
      <c r="F3" s="11"/>
    </row>
    <row r="4" customFormat="false" ht="15" hidden="false" customHeight="false" outlineLevel="0" collapsed="false">
      <c r="B4" s="12" t="s">
        <v>39</v>
      </c>
      <c r="C4" s="13"/>
      <c r="D4" s="13"/>
      <c r="E4" s="13"/>
      <c r="F4" s="13"/>
    </row>
    <row r="5" customFormat="false" ht="15" hidden="false" customHeight="false" outlineLevel="0" collapsed="false">
      <c r="B5" s="12" t="s">
        <v>46</v>
      </c>
      <c r="C5" s="13"/>
      <c r="D5" s="13"/>
      <c r="E5" s="13"/>
      <c r="F5" s="13"/>
    </row>
    <row r="6" customFormat="false" ht="23.85" hidden="false" customHeight="false" outlineLevel="0" collapsed="false">
      <c r="B6" s="12" t="s">
        <v>47</v>
      </c>
      <c r="C6" s="13"/>
      <c r="D6" s="13"/>
      <c r="E6" s="13"/>
      <c r="F6" s="13"/>
    </row>
    <row r="7" customFormat="false" ht="23.85" hidden="false" customHeight="false" outlineLevel="0" collapsed="false">
      <c r="B7" s="12" t="s">
        <v>48</v>
      </c>
      <c r="C7" s="13"/>
      <c r="D7" s="13"/>
      <c r="E7" s="13"/>
      <c r="F7" s="13"/>
    </row>
    <row r="8" customFormat="false" ht="23.85" hidden="false" customHeight="false" outlineLevel="0" collapsed="false">
      <c r="B8" s="12" t="s">
        <v>49</v>
      </c>
      <c r="C8" s="13"/>
      <c r="D8" s="13"/>
      <c r="E8" s="13"/>
      <c r="F8" s="13"/>
    </row>
    <row r="9" customFormat="false" ht="15" hidden="false" customHeight="false" outlineLevel="0" collapsed="false">
      <c r="B9" s="12" t="s">
        <v>50</v>
      </c>
      <c r="C9" s="13"/>
      <c r="D9" s="13"/>
      <c r="E9" s="13"/>
      <c r="F9" s="13"/>
    </row>
    <row r="10" customFormat="false" ht="23.85" hidden="false" customHeight="false" outlineLevel="0" collapsed="false">
      <c r="B10" s="12" t="s">
        <v>51</v>
      </c>
      <c r="C10" s="13"/>
      <c r="D10" s="13"/>
      <c r="E10" s="13"/>
      <c r="F10" s="13"/>
    </row>
    <row r="11" customFormat="false" ht="15" hidden="false" customHeight="false" outlineLevel="0" collapsed="false">
      <c r="B11" s="12" t="s">
        <v>52</v>
      </c>
      <c r="C11" s="13"/>
      <c r="D11" s="13"/>
      <c r="E11" s="13"/>
      <c r="F11" s="13"/>
    </row>
    <row r="12" customFormat="false" ht="23.85" hidden="false" customHeight="false" outlineLevel="0" collapsed="false">
      <c r="B12" s="12" t="s">
        <v>53</v>
      </c>
      <c r="C12" s="13"/>
      <c r="D12" s="13"/>
      <c r="E12" s="13"/>
      <c r="F12" s="13"/>
    </row>
    <row r="13" customFormat="false" ht="15" hidden="false" customHeight="false" outlineLevel="0" collapsed="false">
      <c r="B13" s="12" t="s">
        <v>54</v>
      </c>
      <c r="C13" s="13"/>
      <c r="D13" s="13"/>
      <c r="E13" s="13"/>
      <c r="F13" s="13"/>
    </row>
    <row r="14" customFormat="false" ht="23.85" hidden="false" customHeight="false" outlineLevel="0" collapsed="false">
      <c r="B14" s="12" t="s">
        <v>55</v>
      </c>
      <c r="C14" s="13"/>
      <c r="D14" s="13"/>
      <c r="E14" s="13"/>
      <c r="F14" s="13"/>
    </row>
    <row r="16" customFormat="false" ht="15" hidden="false" customHeight="true" outlineLevel="0" collapsed="false">
      <c r="A16" s="11" t="s">
        <v>56</v>
      </c>
      <c r="B16" s="11"/>
      <c r="C16" s="11"/>
      <c r="D16" s="11"/>
      <c r="E16" s="11"/>
      <c r="F16" s="11"/>
    </row>
    <row r="17" customFormat="false" ht="15" hidden="false" customHeight="false" outlineLevel="0" collapsed="false">
      <c r="B17" s="5" t="s">
        <v>57</v>
      </c>
      <c r="C17" s="5" t="s">
        <v>58</v>
      </c>
      <c r="D17" s="5" t="s">
        <v>59</v>
      </c>
      <c r="E17" s="5" t="s">
        <v>60</v>
      </c>
    </row>
    <row r="18" customFormat="false" ht="23.85" hidden="false" customHeight="false" outlineLevel="0" collapsed="false">
      <c r="B18" s="14" t="s">
        <v>61</v>
      </c>
      <c r="C18" s="15" t="s">
        <v>62</v>
      </c>
      <c r="D18" s="16"/>
      <c r="E18" s="17" t="s">
        <v>63</v>
      </c>
    </row>
    <row r="19" customFormat="false" ht="23.85" hidden="false" customHeight="false" outlineLevel="0" collapsed="false">
      <c r="B19" s="14" t="s">
        <v>64</v>
      </c>
      <c r="C19" s="15" t="s">
        <v>62</v>
      </c>
      <c r="D19" s="16"/>
      <c r="E19" s="18"/>
    </row>
    <row r="20" customFormat="false" ht="23.85" hidden="false" customHeight="false" outlineLevel="0" collapsed="false">
      <c r="B20" s="14" t="s">
        <v>65</v>
      </c>
      <c r="C20" s="15" t="s">
        <v>62</v>
      </c>
      <c r="D20" s="16"/>
      <c r="E20" s="17" t="s">
        <v>63</v>
      </c>
    </row>
    <row r="21" customFormat="false" ht="23.85" hidden="false" customHeight="false" outlineLevel="0" collapsed="false">
      <c r="B21" s="14" t="s">
        <v>66</v>
      </c>
      <c r="C21" s="15" t="s">
        <v>62</v>
      </c>
      <c r="D21" s="16"/>
      <c r="E21" s="17" t="s">
        <v>63</v>
      </c>
    </row>
    <row r="22" customFormat="false" ht="23.85" hidden="false" customHeight="false" outlineLevel="0" collapsed="false">
      <c r="B22" s="14" t="s">
        <v>67</v>
      </c>
      <c r="C22" s="15" t="s">
        <v>62</v>
      </c>
      <c r="D22" s="16"/>
      <c r="E22" s="17" t="s">
        <v>63</v>
      </c>
    </row>
    <row r="23" customFormat="false" ht="23.85" hidden="false" customHeight="false" outlineLevel="0" collapsed="false">
      <c r="B23" s="14" t="s">
        <v>68</v>
      </c>
      <c r="C23" s="15" t="s">
        <v>62</v>
      </c>
      <c r="D23" s="16"/>
      <c r="E23" s="18"/>
    </row>
    <row r="24" customFormat="false" ht="23.85" hidden="false" customHeight="false" outlineLevel="0" collapsed="false">
      <c r="B24" s="14" t="s">
        <v>69</v>
      </c>
      <c r="C24" s="15" t="s">
        <v>62</v>
      </c>
      <c r="D24" s="16"/>
      <c r="E24" s="18"/>
    </row>
    <row r="25" customFormat="false" ht="23.85" hidden="false" customHeight="false" outlineLevel="0" collapsed="false">
      <c r="B25" s="14" t="s">
        <v>70</v>
      </c>
      <c r="C25" s="15" t="s">
        <v>62</v>
      </c>
      <c r="D25" s="16"/>
      <c r="E25" s="18"/>
    </row>
    <row r="26" customFormat="false" ht="23.85" hidden="false" customHeight="false" outlineLevel="0" collapsed="false">
      <c r="B26" s="14" t="s">
        <v>71</v>
      </c>
      <c r="C26" s="15" t="s">
        <v>62</v>
      </c>
      <c r="D26" s="16"/>
      <c r="E26" s="18"/>
    </row>
    <row r="27" customFormat="false" ht="15" hidden="false" customHeight="false" outlineLevel="0" collapsed="false">
      <c r="B27" s="14" t="s">
        <v>72</v>
      </c>
      <c r="C27" s="15" t="s">
        <v>62</v>
      </c>
      <c r="D27" s="16"/>
      <c r="E27" s="18"/>
    </row>
    <row r="28" customFormat="false" ht="23.85" hidden="false" customHeight="false" outlineLevel="0" collapsed="false">
      <c r="B28" s="14" t="s">
        <v>73</v>
      </c>
      <c r="C28" s="15" t="s">
        <v>62</v>
      </c>
      <c r="D28" s="16"/>
      <c r="E28" s="18"/>
    </row>
    <row r="29" customFormat="false" ht="23.85" hidden="false" customHeight="false" outlineLevel="0" collapsed="false">
      <c r="B29" s="14" t="s">
        <v>74</v>
      </c>
      <c r="C29" s="15" t="s">
        <v>62</v>
      </c>
      <c r="D29" s="16"/>
      <c r="E29" s="17" t="s">
        <v>63</v>
      </c>
    </row>
    <row r="31" customFormat="false" ht="15" hidden="false" customHeight="false" outlineLevel="0" collapsed="false">
      <c r="B31" s="19" t="s">
        <v>75</v>
      </c>
      <c r="C31" s="20" t="str">
        <f aca="false">IF(OR(C18="Yes",C20="Yes",C21="Yes",C22="Yes",C29="Yes"),"YES - KNOCKOUT","No")</f>
        <v>No</v>
      </c>
      <c r="D31" s="20"/>
      <c r="E31" s="20"/>
      <c r="F31" s="20"/>
    </row>
    <row r="33" customFormat="false" ht="15" hidden="false" customHeight="true" outlineLevel="0" collapsed="false">
      <c r="A33" s="11" t="s">
        <v>76</v>
      </c>
      <c r="B33" s="11"/>
      <c r="C33" s="11"/>
      <c r="D33" s="11"/>
      <c r="E33" s="11"/>
      <c r="F33" s="11"/>
    </row>
    <row r="34" customFormat="false" ht="15" hidden="false" customHeight="false" outlineLevel="0" collapsed="false">
      <c r="B34" s="5" t="s">
        <v>77</v>
      </c>
      <c r="C34" s="5" t="s">
        <v>78</v>
      </c>
      <c r="D34" s="5" t="s">
        <v>79</v>
      </c>
      <c r="E34" s="5" t="s">
        <v>80</v>
      </c>
      <c r="F34" s="5" t="s">
        <v>81</v>
      </c>
    </row>
    <row r="35" customFormat="false" ht="33.75" hidden="false" customHeight="true" outlineLevel="0" collapsed="false">
      <c r="B35" s="21" t="s">
        <v>82</v>
      </c>
      <c r="C35" s="15"/>
      <c r="D35" s="22" t="s">
        <v>83</v>
      </c>
      <c r="E35" s="23" t="n">
        <v>0.25</v>
      </c>
      <c r="F35" s="24" t="n">
        <f aca="false">IF(ISNUMBER(C35),C35*E35,0)</f>
        <v>0</v>
      </c>
    </row>
    <row r="36" customFormat="false" ht="33.75" hidden="false" customHeight="true" outlineLevel="0" collapsed="false">
      <c r="B36" s="21" t="s">
        <v>84</v>
      </c>
      <c r="C36" s="15"/>
      <c r="D36" s="22" t="s">
        <v>85</v>
      </c>
      <c r="E36" s="23" t="n">
        <v>0.2</v>
      </c>
      <c r="F36" s="24" t="n">
        <f aca="false">IF(ISNUMBER(C36),C36*E36,0)</f>
        <v>0</v>
      </c>
    </row>
    <row r="37" customFormat="false" ht="33.75" hidden="false" customHeight="true" outlineLevel="0" collapsed="false">
      <c r="B37" s="21" t="s">
        <v>86</v>
      </c>
      <c r="C37" s="15"/>
      <c r="D37" s="22" t="s">
        <v>87</v>
      </c>
      <c r="E37" s="23" t="n">
        <v>0.2</v>
      </c>
      <c r="F37" s="24" t="n">
        <f aca="false">IF(ISNUMBER(C37),C37*E37,0)</f>
        <v>0</v>
      </c>
    </row>
    <row r="38" customFormat="false" ht="33.75" hidden="false" customHeight="true" outlineLevel="0" collapsed="false">
      <c r="B38" s="21" t="s">
        <v>88</v>
      </c>
      <c r="C38" s="15"/>
      <c r="D38" s="22" t="s">
        <v>89</v>
      </c>
      <c r="E38" s="23" t="n">
        <v>0.15</v>
      </c>
      <c r="F38" s="24" t="n">
        <f aca="false">IF(ISNUMBER(C38),C38*E38,0)</f>
        <v>0</v>
      </c>
    </row>
    <row r="39" customFormat="false" ht="33.75" hidden="false" customHeight="true" outlineLevel="0" collapsed="false">
      <c r="B39" s="21" t="s">
        <v>90</v>
      </c>
      <c r="C39" s="15"/>
      <c r="D39" s="22" t="s">
        <v>91</v>
      </c>
      <c r="E39" s="23" t="n">
        <v>0.1</v>
      </c>
      <c r="F39" s="24" t="n">
        <f aca="false">IF(ISNUMBER(C39),C39*E39,0)</f>
        <v>0</v>
      </c>
    </row>
    <row r="40" customFormat="false" ht="33.75" hidden="false" customHeight="true" outlineLevel="0" collapsed="false">
      <c r="B40" s="21" t="s">
        <v>92</v>
      </c>
      <c r="C40" s="15"/>
      <c r="D40" s="22" t="s">
        <v>93</v>
      </c>
      <c r="E40" s="23" t="n">
        <v>0.1</v>
      </c>
      <c r="F40" s="24" t="n">
        <f aca="false">IF(ISNUMBER(C40),C40*E40,0)</f>
        <v>0</v>
      </c>
    </row>
    <row r="41" customFormat="false" ht="15" hidden="false" customHeight="false" outlineLevel="0" collapsed="false">
      <c r="B41" s="25" t="s">
        <v>94</v>
      </c>
      <c r="E41" s="26" t="n">
        <f aca="false">SUM(E35:E40)</f>
        <v>1</v>
      </c>
    </row>
    <row r="42" customFormat="false" ht="17.35" hidden="false" customHeight="true" outlineLevel="0" collapsed="false">
      <c r="B42" s="6" t="s">
        <v>95</v>
      </c>
      <c r="C42" s="27" t="s">
        <v>96</v>
      </c>
      <c r="D42" s="27"/>
      <c r="E42" s="27"/>
      <c r="F42" s="8" t="n">
        <f aca="false">SUM(F35:F40)</f>
        <v>0</v>
      </c>
    </row>
    <row r="44" customFormat="false" ht="15" hidden="false" customHeight="true" outlineLevel="0" collapsed="false">
      <c r="B44" s="28" t="s">
        <v>42</v>
      </c>
      <c r="C44" s="28"/>
      <c r="D44" s="28"/>
      <c r="E44" s="28"/>
      <c r="F44" s="28"/>
    </row>
    <row r="45" customFormat="false" ht="33.75" hidden="false" customHeight="true" outlineLevel="0" collapsed="false">
      <c r="B45" s="29" t="str">
        <f aca="false">IF(C31="YES - KNOCKOUT","KNOCKOUT - not shortlisted",IF(F42&gt;=3.5,"SHORTLIST - proceed to contract negotiation",IF(F42&gt;0,"BELOW FLOOR - not shortlisted","Awaiting scores")))</f>
        <v>Awaiting scores</v>
      </c>
      <c r="C45" s="29"/>
      <c r="D45" s="29"/>
      <c r="E45" s="29"/>
      <c r="F45" s="29"/>
    </row>
    <row r="47" customFormat="false" ht="15" hidden="false" customHeight="false" outlineLevel="0" collapsed="false">
      <c r="B47" s="12" t="s">
        <v>97</v>
      </c>
      <c r="C47" s="30"/>
      <c r="D47" s="30"/>
      <c r="E47" s="30"/>
      <c r="F47" s="30"/>
    </row>
  </sheetData>
  <mergeCells count="20">
    <mergeCell ref="A1:F2"/>
    <mergeCell ref="A3:F3"/>
    <mergeCell ref="C4:F4"/>
    <mergeCell ref="C5:F5"/>
    <mergeCell ref="C6:F6"/>
    <mergeCell ref="C7:F7"/>
    <mergeCell ref="C8:F8"/>
    <mergeCell ref="C9:F9"/>
    <mergeCell ref="C10:F10"/>
    <mergeCell ref="C11:F11"/>
    <mergeCell ref="C12:F12"/>
    <mergeCell ref="C13:F13"/>
    <mergeCell ref="C14:F14"/>
    <mergeCell ref="A16:F16"/>
    <mergeCell ref="C31:F31"/>
    <mergeCell ref="A33:F33"/>
    <mergeCell ref="C42:E42"/>
    <mergeCell ref="B44:F44"/>
    <mergeCell ref="B45:F45"/>
    <mergeCell ref="C47:F47"/>
  </mergeCells>
  <conditionalFormatting sqref="B45:F45">
    <cfRule type="expression" priority="2" aboveAverage="0" equalAverage="0" bottom="0" percent="0" rank="0" text="" dxfId="0">
      <formula>ISNUMBER(SEARCH("SHORTLIST",$B$45))</formula>
    </cfRule>
    <cfRule type="expression" priority="3" aboveAverage="0" equalAverage="0" bottom="0" percent="0" rank="0" text="" dxfId="1">
      <formula>ISNUMBER(SEARCH("KNOCKOUT",$B$45))</formula>
    </cfRule>
    <cfRule type="expression" priority="4" aboveAverage="0" equalAverage="0" bottom="0" percent="0" rank="0" text="" dxfId="2">
      <formula>ISNUMBER(SEARCH("BELOW FLOOR",$B$45))</formula>
    </cfRule>
  </conditionalFormatting>
  <dataValidations count="2">
    <dataValidation allowBlank="false" errorStyle="stop" operator="between" showDropDown="false" showErrorMessage="false" showInputMessage="false" sqref="C18:C29" type="list">
      <formula1>"Yes,No"</formula1>
      <formula2>0</formula2>
    </dataValidation>
    <dataValidation allowBlank="true" error="Score must be between 1 and 5" errorStyle="stop" errorTitle="Out of range" operator="between" showDropDown="false" showErrorMessage="true" showInputMessage="false" sqref="C35:C40" type="decimal">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2"/>
    <col collapsed="false" customWidth="true" hidden="false" outlineLevel="0" max="4" min="4" style="0" width="60"/>
    <col collapsed="false" customWidth="true" hidden="false" outlineLevel="0" max="5" min="5" style="0" width="10"/>
    <col collapsed="false" customWidth="true" hidden="false" outlineLevel="0" max="6" min="6" style="0" width="12"/>
  </cols>
  <sheetData>
    <row r="1" customFormat="false" ht="15" hidden="false" customHeight="true" outlineLevel="0" collapsed="false">
      <c r="A1" s="1" t="s">
        <v>98</v>
      </c>
      <c r="B1" s="1"/>
      <c r="C1" s="1"/>
      <c r="D1" s="1"/>
      <c r="E1" s="1"/>
      <c r="F1" s="1"/>
    </row>
    <row r="2" customFormat="false" ht="15" hidden="false" customHeight="false" outlineLevel="0" collapsed="false">
      <c r="A2" s="1"/>
      <c r="B2" s="1"/>
      <c r="C2" s="1"/>
      <c r="D2" s="1"/>
      <c r="E2" s="1"/>
      <c r="F2" s="1"/>
    </row>
    <row r="3" customFormat="false" ht="15" hidden="false" customHeight="true" outlineLevel="0" collapsed="false">
      <c r="A3" s="11" t="s">
        <v>45</v>
      </c>
      <c r="B3" s="11"/>
      <c r="C3" s="11"/>
      <c r="D3" s="11"/>
      <c r="E3" s="11"/>
      <c r="F3" s="11"/>
    </row>
    <row r="4" customFormat="false" ht="15" hidden="false" customHeight="false" outlineLevel="0" collapsed="false">
      <c r="B4" s="12" t="s">
        <v>39</v>
      </c>
      <c r="C4" s="13"/>
      <c r="D4" s="13"/>
      <c r="E4" s="13"/>
      <c r="F4" s="13"/>
    </row>
    <row r="5" customFormat="false" ht="15" hidden="false" customHeight="false" outlineLevel="0" collapsed="false">
      <c r="B5" s="12" t="s">
        <v>46</v>
      </c>
      <c r="C5" s="13"/>
      <c r="D5" s="13"/>
      <c r="E5" s="13"/>
      <c r="F5" s="13"/>
    </row>
    <row r="6" customFormat="false" ht="23.85" hidden="false" customHeight="false" outlineLevel="0" collapsed="false">
      <c r="B6" s="12" t="s">
        <v>47</v>
      </c>
      <c r="C6" s="13"/>
      <c r="D6" s="13"/>
      <c r="E6" s="13"/>
      <c r="F6" s="13"/>
    </row>
    <row r="7" customFormat="false" ht="23.85" hidden="false" customHeight="false" outlineLevel="0" collapsed="false">
      <c r="B7" s="12" t="s">
        <v>48</v>
      </c>
      <c r="C7" s="13"/>
      <c r="D7" s="13"/>
      <c r="E7" s="13"/>
      <c r="F7" s="13"/>
    </row>
    <row r="8" customFormat="false" ht="23.85" hidden="false" customHeight="false" outlineLevel="0" collapsed="false">
      <c r="B8" s="12" t="s">
        <v>49</v>
      </c>
      <c r="C8" s="13"/>
      <c r="D8" s="13"/>
      <c r="E8" s="13"/>
      <c r="F8" s="13"/>
    </row>
    <row r="9" customFormat="false" ht="15" hidden="false" customHeight="false" outlineLevel="0" collapsed="false">
      <c r="B9" s="12" t="s">
        <v>50</v>
      </c>
      <c r="C9" s="13"/>
      <c r="D9" s="13"/>
      <c r="E9" s="13"/>
      <c r="F9" s="13"/>
    </row>
    <row r="10" customFormat="false" ht="23.85" hidden="false" customHeight="false" outlineLevel="0" collapsed="false">
      <c r="B10" s="12" t="s">
        <v>51</v>
      </c>
      <c r="C10" s="13"/>
      <c r="D10" s="13"/>
      <c r="E10" s="13"/>
      <c r="F10" s="13"/>
    </row>
    <row r="11" customFormat="false" ht="15" hidden="false" customHeight="false" outlineLevel="0" collapsed="false">
      <c r="B11" s="12" t="s">
        <v>52</v>
      </c>
      <c r="C11" s="13"/>
      <c r="D11" s="13"/>
      <c r="E11" s="13"/>
      <c r="F11" s="13"/>
    </row>
    <row r="12" customFormat="false" ht="23.85" hidden="false" customHeight="false" outlineLevel="0" collapsed="false">
      <c r="B12" s="12" t="s">
        <v>53</v>
      </c>
      <c r="C12" s="13"/>
      <c r="D12" s="13"/>
      <c r="E12" s="13"/>
      <c r="F12" s="13"/>
    </row>
    <row r="13" customFormat="false" ht="15" hidden="false" customHeight="false" outlineLevel="0" collapsed="false">
      <c r="B13" s="12" t="s">
        <v>54</v>
      </c>
      <c r="C13" s="13"/>
      <c r="D13" s="13"/>
      <c r="E13" s="13"/>
      <c r="F13" s="13"/>
    </row>
    <row r="14" customFormat="false" ht="23.85" hidden="false" customHeight="false" outlineLevel="0" collapsed="false">
      <c r="B14" s="12" t="s">
        <v>55</v>
      </c>
      <c r="C14" s="13"/>
      <c r="D14" s="13"/>
      <c r="E14" s="13"/>
      <c r="F14" s="13"/>
    </row>
    <row r="16" customFormat="false" ht="15" hidden="false" customHeight="true" outlineLevel="0" collapsed="false">
      <c r="A16" s="11" t="s">
        <v>56</v>
      </c>
      <c r="B16" s="11"/>
      <c r="C16" s="11"/>
      <c r="D16" s="11"/>
      <c r="E16" s="11"/>
      <c r="F16" s="11"/>
    </row>
    <row r="17" customFormat="false" ht="15" hidden="false" customHeight="false" outlineLevel="0" collapsed="false">
      <c r="B17" s="5" t="s">
        <v>57</v>
      </c>
      <c r="C17" s="5" t="s">
        <v>58</v>
      </c>
      <c r="D17" s="5" t="s">
        <v>59</v>
      </c>
      <c r="E17" s="5" t="s">
        <v>60</v>
      </c>
    </row>
    <row r="18" customFormat="false" ht="23.85" hidden="false" customHeight="false" outlineLevel="0" collapsed="false">
      <c r="B18" s="14" t="s">
        <v>61</v>
      </c>
      <c r="C18" s="15" t="s">
        <v>62</v>
      </c>
      <c r="D18" s="16"/>
      <c r="E18" s="17" t="s">
        <v>63</v>
      </c>
    </row>
    <row r="19" customFormat="false" ht="23.85" hidden="false" customHeight="false" outlineLevel="0" collapsed="false">
      <c r="B19" s="14" t="s">
        <v>64</v>
      </c>
      <c r="C19" s="15" t="s">
        <v>62</v>
      </c>
      <c r="D19" s="16"/>
      <c r="E19" s="18"/>
    </row>
    <row r="20" customFormat="false" ht="23.85" hidden="false" customHeight="false" outlineLevel="0" collapsed="false">
      <c r="B20" s="14" t="s">
        <v>65</v>
      </c>
      <c r="C20" s="15" t="s">
        <v>62</v>
      </c>
      <c r="D20" s="16"/>
      <c r="E20" s="17" t="s">
        <v>63</v>
      </c>
    </row>
    <row r="21" customFormat="false" ht="23.85" hidden="false" customHeight="false" outlineLevel="0" collapsed="false">
      <c r="B21" s="14" t="s">
        <v>66</v>
      </c>
      <c r="C21" s="15" t="s">
        <v>62</v>
      </c>
      <c r="D21" s="16"/>
      <c r="E21" s="17" t="s">
        <v>63</v>
      </c>
    </row>
    <row r="22" customFormat="false" ht="23.85" hidden="false" customHeight="false" outlineLevel="0" collapsed="false">
      <c r="B22" s="14" t="s">
        <v>67</v>
      </c>
      <c r="C22" s="15" t="s">
        <v>62</v>
      </c>
      <c r="D22" s="16"/>
      <c r="E22" s="17" t="s">
        <v>63</v>
      </c>
    </row>
    <row r="23" customFormat="false" ht="23.85" hidden="false" customHeight="false" outlineLevel="0" collapsed="false">
      <c r="B23" s="14" t="s">
        <v>68</v>
      </c>
      <c r="C23" s="15" t="s">
        <v>62</v>
      </c>
      <c r="D23" s="16"/>
      <c r="E23" s="18"/>
    </row>
    <row r="24" customFormat="false" ht="23.85" hidden="false" customHeight="false" outlineLevel="0" collapsed="false">
      <c r="B24" s="14" t="s">
        <v>69</v>
      </c>
      <c r="C24" s="15" t="s">
        <v>62</v>
      </c>
      <c r="D24" s="16"/>
      <c r="E24" s="18"/>
    </row>
    <row r="25" customFormat="false" ht="23.85" hidden="false" customHeight="false" outlineLevel="0" collapsed="false">
      <c r="B25" s="14" t="s">
        <v>70</v>
      </c>
      <c r="C25" s="15" t="s">
        <v>62</v>
      </c>
      <c r="D25" s="16"/>
      <c r="E25" s="18"/>
    </row>
    <row r="26" customFormat="false" ht="23.85" hidden="false" customHeight="false" outlineLevel="0" collapsed="false">
      <c r="B26" s="14" t="s">
        <v>71</v>
      </c>
      <c r="C26" s="15" t="s">
        <v>62</v>
      </c>
      <c r="D26" s="16"/>
      <c r="E26" s="18"/>
    </row>
    <row r="27" customFormat="false" ht="15" hidden="false" customHeight="false" outlineLevel="0" collapsed="false">
      <c r="B27" s="14" t="s">
        <v>72</v>
      </c>
      <c r="C27" s="15" t="s">
        <v>62</v>
      </c>
      <c r="D27" s="16"/>
      <c r="E27" s="18"/>
    </row>
    <row r="28" customFormat="false" ht="23.85" hidden="false" customHeight="false" outlineLevel="0" collapsed="false">
      <c r="B28" s="14" t="s">
        <v>73</v>
      </c>
      <c r="C28" s="15" t="s">
        <v>62</v>
      </c>
      <c r="D28" s="16"/>
      <c r="E28" s="18"/>
    </row>
    <row r="29" customFormat="false" ht="23.85" hidden="false" customHeight="false" outlineLevel="0" collapsed="false">
      <c r="B29" s="14" t="s">
        <v>74</v>
      </c>
      <c r="C29" s="15" t="s">
        <v>62</v>
      </c>
      <c r="D29" s="16"/>
      <c r="E29" s="17" t="s">
        <v>63</v>
      </c>
    </row>
    <row r="31" customFormat="false" ht="15" hidden="false" customHeight="false" outlineLevel="0" collapsed="false">
      <c r="B31" s="19" t="s">
        <v>75</v>
      </c>
      <c r="C31" s="20" t="str">
        <f aca="false">IF(OR(C18="Yes",C20="Yes",C21="Yes",C22="Yes",C29="Yes"),"YES - KNOCKOUT","No")</f>
        <v>No</v>
      </c>
      <c r="D31" s="20"/>
      <c r="E31" s="20"/>
      <c r="F31" s="20"/>
    </row>
    <row r="33" customFormat="false" ht="15" hidden="false" customHeight="true" outlineLevel="0" collapsed="false">
      <c r="A33" s="11" t="s">
        <v>76</v>
      </c>
      <c r="B33" s="11"/>
      <c r="C33" s="11"/>
      <c r="D33" s="11"/>
      <c r="E33" s="11"/>
      <c r="F33" s="11"/>
    </row>
    <row r="34" customFormat="false" ht="15" hidden="false" customHeight="false" outlineLevel="0" collapsed="false">
      <c r="B34" s="5" t="s">
        <v>77</v>
      </c>
      <c r="C34" s="5" t="s">
        <v>78</v>
      </c>
      <c r="D34" s="5" t="s">
        <v>79</v>
      </c>
      <c r="E34" s="5" t="s">
        <v>80</v>
      </c>
      <c r="F34" s="5" t="s">
        <v>81</v>
      </c>
    </row>
    <row r="35" customFormat="false" ht="33.75" hidden="false" customHeight="true" outlineLevel="0" collapsed="false">
      <c r="B35" s="21" t="s">
        <v>82</v>
      </c>
      <c r="C35" s="15"/>
      <c r="D35" s="22" t="s">
        <v>83</v>
      </c>
      <c r="E35" s="23" t="n">
        <v>0.25</v>
      </c>
      <c r="F35" s="24" t="n">
        <f aca="false">IF(ISNUMBER(C35),C35*E35,0)</f>
        <v>0</v>
      </c>
    </row>
    <row r="36" customFormat="false" ht="33.75" hidden="false" customHeight="true" outlineLevel="0" collapsed="false">
      <c r="B36" s="21" t="s">
        <v>84</v>
      </c>
      <c r="C36" s="15"/>
      <c r="D36" s="22" t="s">
        <v>85</v>
      </c>
      <c r="E36" s="23" t="n">
        <v>0.2</v>
      </c>
      <c r="F36" s="24" t="n">
        <f aca="false">IF(ISNUMBER(C36),C36*E36,0)</f>
        <v>0</v>
      </c>
    </row>
    <row r="37" customFormat="false" ht="33.75" hidden="false" customHeight="true" outlineLevel="0" collapsed="false">
      <c r="B37" s="21" t="s">
        <v>86</v>
      </c>
      <c r="C37" s="15"/>
      <c r="D37" s="22" t="s">
        <v>87</v>
      </c>
      <c r="E37" s="23" t="n">
        <v>0.2</v>
      </c>
      <c r="F37" s="24" t="n">
        <f aca="false">IF(ISNUMBER(C37),C37*E37,0)</f>
        <v>0</v>
      </c>
    </row>
    <row r="38" customFormat="false" ht="33.75" hidden="false" customHeight="true" outlineLevel="0" collapsed="false">
      <c r="B38" s="21" t="s">
        <v>88</v>
      </c>
      <c r="C38" s="15"/>
      <c r="D38" s="22" t="s">
        <v>89</v>
      </c>
      <c r="E38" s="23" t="n">
        <v>0.15</v>
      </c>
      <c r="F38" s="24" t="n">
        <f aca="false">IF(ISNUMBER(C38),C38*E38,0)</f>
        <v>0</v>
      </c>
    </row>
    <row r="39" customFormat="false" ht="33.75" hidden="false" customHeight="true" outlineLevel="0" collapsed="false">
      <c r="B39" s="21" t="s">
        <v>90</v>
      </c>
      <c r="C39" s="15"/>
      <c r="D39" s="22" t="s">
        <v>91</v>
      </c>
      <c r="E39" s="23" t="n">
        <v>0.1</v>
      </c>
      <c r="F39" s="24" t="n">
        <f aca="false">IF(ISNUMBER(C39),C39*E39,0)</f>
        <v>0</v>
      </c>
    </row>
    <row r="40" customFormat="false" ht="33.75" hidden="false" customHeight="true" outlineLevel="0" collapsed="false">
      <c r="B40" s="21" t="s">
        <v>92</v>
      </c>
      <c r="C40" s="15"/>
      <c r="D40" s="22" t="s">
        <v>93</v>
      </c>
      <c r="E40" s="23" t="n">
        <v>0.1</v>
      </c>
      <c r="F40" s="24" t="n">
        <f aca="false">IF(ISNUMBER(C40),C40*E40,0)</f>
        <v>0</v>
      </c>
    </row>
    <row r="41" customFormat="false" ht="15" hidden="false" customHeight="false" outlineLevel="0" collapsed="false">
      <c r="B41" s="25" t="s">
        <v>94</v>
      </c>
      <c r="E41" s="26" t="n">
        <f aca="false">SUM(E35:E40)</f>
        <v>1</v>
      </c>
    </row>
    <row r="42" customFormat="false" ht="17.35" hidden="false" customHeight="true" outlineLevel="0" collapsed="false">
      <c r="B42" s="6" t="s">
        <v>95</v>
      </c>
      <c r="C42" s="27" t="s">
        <v>96</v>
      </c>
      <c r="D42" s="27"/>
      <c r="E42" s="27"/>
      <c r="F42" s="8" t="n">
        <f aca="false">SUM(F35:F40)</f>
        <v>0</v>
      </c>
    </row>
    <row r="44" customFormat="false" ht="15" hidden="false" customHeight="true" outlineLevel="0" collapsed="false">
      <c r="B44" s="28" t="s">
        <v>42</v>
      </c>
      <c r="C44" s="28"/>
      <c r="D44" s="28"/>
      <c r="E44" s="28"/>
      <c r="F44" s="28"/>
    </row>
    <row r="45" customFormat="false" ht="33.75" hidden="false" customHeight="true" outlineLevel="0" collapsed="false">
      <c r="B45" s="29" t="str">
        <f aca="false">IF(C31="YES - KNOCKOUT","KNOCKOUT - not shortlisted",IF(F42&gt;=3.5,"SHORTLIST - proceed to contract negotiation",IF(F42&gt;0,"BELOW FLOOR - not shortlisted","Awaiting scores")))</f>
        <v>Awaiting scores</v>
      </c>
      <c r="C45" s="29"/>
      <c r="D45" s="29"/>
      <c r="E45" s="29"/>
      <c r="F45" s="29"/>
    </row>
    <row r="47" customFormat="false" ht="15" hidden="false" customHeight="false" outlineLevel="0" collapsed="false">
      <c r="B47" s="12" t="s">
        <v>97</v>
      </c>
      <c r="C47" s="30"/>
      <c r="D47" s="30"/>
      <c r="E47" s="30"/>
      <c r="F47" s="30"/>
    </row>
  </sheetData>
  <mergeCells count="20">
    <mergeCell ref="A1:F2"/>
    <mergeCell ref="A3:F3"/>
    <mergeCell ref="C4:F4"/>
    <mergeCell ref="C5:F5"/>
    <mergeCell ref="C6:F6"/>
    <mergeCell ref="C7:F7"/>
    <mergeCell ref="C8:F8"/>
    <mergeCell ref="C9:F9"/>
    <mergeCell ref="C10:F10"/>
    <mergeCell ref="C11:F11"/>
    <mergeCell ref="C12:F12"/>
    <mergeCell ref="C13:F13"/>
    <mergeCell ref="C14:F14"/>
    <mergeCell ref="A16:F16"/>
    <mergeCell ref="C31:F31"/>
    <mergeCell ref="A33:F33"/>
    <mergeCell ref="C42:E42"/>
    <mergeCell ref="B44:F44"/>
    <mergeCell ref="B45:F45"/>
    <mergeCell ref="C47:F47"/>
  </mergeCells>
  <conditionalFormatting sqref="B45:F45">
    <cfRule type="expression" priority="2" aboveAverage="0" equalAverage="0" bottom="0" percent="0" rank="0" text="" dxfId="0">
      <formula>ISNUMBER(SEARCH("SHORTLIST",$B$45))</formula>
    </cfRule>
    <cfRule type="expression" priority="3" aboveAverage="0" equalAverage="0" bottom="0" percent="0" rank="0" text="" dxfId="1">
      <formula>ISNUMBER(SEARCH("KNOCKOUT",$B$45))</formula>
    </cfRule>
    <cfRule type="expression" priority="4" aboveAverage="0" equalAverage="0" bottom="0" percent="0" rank="0" text="" dxfId="2">
      <formula>ISNUMBER(SEARCH("BELOW FLOOR",$B$45))</formula>
    </cfRule>
  </conditionalFormatting>
  <dataValidations count="2">
    <dataValidation allowBlank="false" errorStyle="stop" operator="between" showDropDown="false" showErrorMessage="false" showInputMessage="false" sqref="C18:C29" type="list">
      <formula1>"Yes,No"</formula1>
      <formula2>0</formula2>
    </dataValidation>
    <dataValidation allowBlank="true" error="Score must be between 1 and 5" errorStyle="stop" errorTitle="Out of range" operator="between" showDropDown="false" showErrorMessage="true" showInputMessage="false" sqref="C35:C40" type="decimal">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2"/>
    <col collapsed="false" customWidth="true" hidden="false" outlineLevel="0" max="4" min="4" style="0" width="60"/>
    <col collapsed="false" customWidth="true" hidden="false" outlineLevel="0" max="5" min="5" style="0" width="10"/>
    <col collapsed="false" customWidth="true" hidden="false" outlineLevel="0" max="6" min="6" style="0" width="12"/>
  </cols>
  <sheetData>
    <row r="1" customFormat="false" ht="15" hidden="false" customHeight="true" outlineLevel="0" collapsed="false">
      <c r="A1" s="1" t="s">
        <v>99</v>
      </c>
      <c r="B1" s="1"/>
      <c r="C1" s="1"/>
      <c r="D1" s="1"/>
      <c r="E1" s="1"/>
      <c r="F1" s="1"/>
    </row>
    <row r="2" customFormat="false" ht="15" hidden="false" customHeight="false" outlineLevel="0" collapsed="false">
      <c r="A2" s="1"/>
      <c r="B2" s="1"/>
      <c r="C2" s="1"/>
      <c r="D2" s="1"/>
      <c r="E2" s="1"/>
      <c r="F2" s="1"/>
    </row>
    <row r="3" customFormat="false" ht="15" hidden="false" customHeight="true" outlineLevel="0" collapsed="false">
      <c r="A3" s="11" t="s">
        <v>45</v>
      </c>
      <c r="B3" s="11"/>
      <c r="C3" s="11"/>
      <c r="D3" s="11"/>
      <c r="E3" s="11"/>
      <c r="F3" s="11"/>
    </row>
    <row r="4" customFormat="false" ht="15" hidden="false" customHeight="false" outlineLevel="0" collapsed="false">
      <c r="B4" s="12" t="s">
        <v>39</v>
      </c>
      <c r="C4" s="13"/>
      <c r="D4" s="13"/>
      <c r="E4" s="13"/>
      <c r="F4" s="13"/>
    </row>
    <row r="5" customFormat="false" ht="15" hidden="false" customHeight="false" outlineLevel="0" collapsed="false">
      <c r="B5" s="12" t="s">
        <v>46</v>
      </c>
      <c r="C5" s="13"/>
      <c r="D5" s="13"/>
      <c r="E5" s="13"/>
      <c r="F5" s="13"/>
    </row>
    <row r="6" customFormat="false" ht="23.85" hidden="false" customHeight="false" outlineLevel="0" collapsed="false">
      <c r="B6" s="12" t="s">
        <v>47</v>
      </c>
      <c r="C6" s="13"/>
      <c r="D6" s="13"/>
      <c r="E6" s="13"/>
      <c r="F6" s="13"/>
    </row>
    <row r="7" customFormat="false" ht="23.85" hidden="false" customHeight="false" outlineLevel="0" collapsed="false">
      <c r="B7" s="12" t="s">
        <v>48</v>
      </c>
      <c r="C7" s="13"/>
      <c r="D7" s="13"/>
      <c r="E7" s="13"/>
      <c r="F7" s="13"/>
    </row>
    <row r="8" customFormat="false" ht="23.85" hidden="false" customHeight="false" outlineLevel="0" collapsed="false">
      <c r="B8" s="12" t="s">
        <v>49</v>
      </c>
      <c r="C8" s="13"/>
      <c r="D8" s="13"/>
      <c r="E8" s="13"/>
      <c r="F8" s="13"/>
    </row>
    <row r="9" customFormat="false" ht="15" hidden="false" customHeight="false" outlineLevel="0" collapsed="false">
      <c r="B9" s="12" t="s">
        <v>50</v>
      </c>
      <c r="C9" s="13"/>
      <c r="D9" s="13"/>
      <c r="E9" s="13"/>
      <c r="F9" s="13"/>
    </row>
    <row r="10" customFormat="false" ht="23.85" hidden="false" customHeight="false" outlineLevel="0" collapsed="false">
      <c r="B10" s="12" t="s">
        <v>51</v>
      </c>
      <c r="C10" s="13"/>
      <c r="D10" s="13"/>
      <c r="E10" s="13"/>
      <c r="F10" s="13"/>
    </row>
    <row r="11" customFormat="false" ht="15" hidden="false" customHeight="false" outlineLevel="0" collapsed="false">
      <c r="B11" s="12" t="s">
        <v>52</v>
      </c>
      <c r="C11" s="13"/>
      <c r="D11" s="13"/>
      <c r="E11" s="13"/>
      <c r="F11" s="13"/>
    </row>
    <row r="12" customFormat="false" ht="23.85" hidden="false" customHeight="false" outlineLevel="0" collapsed="false">
      <c r="B12" s="12" t="s">
        <v>53</v>
      </c>
      <c r="C12" s="13"/>
      <c r="D12" s="13"/>
      <c r="E12" s="13"/>
      <c r="F12" s="13"/>
    </row>
    <row r="13" customFormat="false" ht="15" hidden="false" customHeight="false" outlineLevel="0" collapsed="false">
      <c r="B13" s="12" t="s">
        <v>54</v>
      </c>
      <c r="C13" s="13"/>
      <c r="D13" s="13"/>
      <c r="E13" s="13"/>
      <c r="F13" s="13"/>
    </row>
    <row r="14" customFormat="false" ht="23.85" hidden="false" customHeight="false" outlineLevel="0" collapsed="false">
      <c r="B14" s="12" t="s">
        <v>55</v>
      </c>
      <c r="C14" s="13"/>
      <c r="D14" s="13"/>
      <c r="E14" s="13"/>
      <c r="F14" s="13"/>
    </row>
    <row r="16" customFormat="false" ht="15" hidden="false" customHeight="true" outlineLevel="0" collapsed="false">
      <c r="A16" s="11" t="s">
        <v>56</v>
      </c>
      <c r="B16" s="11"/>
      <c r="C16" s="11"/>
      <c r="D16" s="11"/>
      <c r="E16" s="11"/>
      <c r="F16" s="11"/>
    </row>
    <row r="17" customFormat="false" ht="15" hidden="false" customHeight="false" outlineLevel="0" collapsed="false">
      <c r="B17" s="5" t="s">
        <v>57</v>
      </c>
      <c r="C17" s="5" t="s">
        <v>58</v>
      </c>
      <c r="D17" s="5" t="s">
        <v>59</v>
      </c>
      <c r="E17" s="5" t="s">
        <v>60</v>
      </c>
    </row>
    <row r="18" customFormat="false" ht="23.85" hidden="false" customHeight="false" outlineLevel="0" collapsed="false">
      <c r="B18" s="14" t="s">
        <v>61</v>
      </c>
      <c r="C18" s="15" t="s">
        <v>62</v>
      </c>
      <c r="D18" s="16"/>
      <c r="E18" s="17" t="s">
        <v>63</v>
      </c>
    </row>
    <row r="19" customFormat="false" ht="23.85" hidden="false" customHeight="false" outlineLevel="0" collapsed="false">
      <c r="B19" s="14" t="s">
        <v>64</v>
      </c>
      <c r="C19" s="15" t="s">
        <v>62</v>
      </c>
      <c r="D19" s="16"/>
      <c r="E19" s="18"/>
    </row>
    <row r="20" customFormat="false" ht="23.85" hidden="false" customHeight="false" outlineLevel="0" collapsed="false">
      <c r="B20" s="14" t="s">
        <v>65</v>
      </c>
      <c r="C20" s="15" t="s">
        <v>62</v>
      </c>
      <c r="D20" s="16"/>
      <c r="E20" s="17" t="s">
        <v>63</v>
      </c>
    </row>
    <row r="21" customFormat="false" ht="23.85" hidden="false" customHeight="false" outlineLevel="0" collapsed="false">
      <c r="B21" s="14" t="s">
        <v>66</v>
      </c>
      <c r="C21" s="15" t="s">
        <v>62</v>
      </c>
      <c r="D21" s="16"/>
      <c r="E21" s="17" t="s">
        <v>63</v>
      </c>
    </row>
    <row r="22" customFormat="false" ht="23.85" hidden="false" customHeight="false" outlineLevel="0" collapsed="false">
      <c r="B22" s="14" t="s">
        <v>67</v>
      </c>
      <c r="C22" s="15" t="s">
        <v>62</v>
      </c>
      <c r="D22" s="16"/>
      <c r="E22" s="17" t="s">
        <v>63</v>
      </c>
    </row>
    <row r="23" customFormat="false" ht="23.85" hidden="false" customHeight="false" outlineLevel="0" collapsed="false">
      <c r="B23" s="14" t="s">
        <v>68</v>
      </c>
      <c r="C23" s="15" t="s">
        <v>62</v>
      </c>
      <c r="D23" s="16"/>
      <c r="E23" s="18"/>
    </row>
    <row r="24" customFormat="false" ht="23.85" hidden="false" customHeight="false" outlineLevel="0" collapsed="false">
      <c r="B24" s="14" t="s">
        <v>69</v>
      </c>
      <c r="C24" s="15" t="s">
        <v>62</v>
      </c>
      <c r="D24" s="16"/>
      <c r="E24" s="18"/>
    </row>
    <row r="25" customFormat="false" ht="23.85" hidden="false" customHeight="false" outlineLevel="0" collapsed="false">
      <c r="B25" s="14" t="s">
        <v>70</v>
      </c>
      <c r="C25" s="15" t="s">
        <v>62</v>
      </c>
      <c r="D25" s="16"/>
      <c r="E25" s="18"/>
    </row>
    <row r="26" customFormat="false" ht="23.85" hidden="false" customHeight="false" outlineLevel="0" collapsed="false">
      <c r="B26" s="14" t="s">
        <v>71</v>
      </c>
      <c r="C26" s="15" t="s">
        <v>62</v>
      </c>
      <c r="D26" s="16"/>
      <c r="E26" s="18"/>
    </row>
    <row r="27" customFormat="false" ht="15" hidden="false" customHeight="false" outlineLevel="0" collapsed="false">
      <c r="B27" s="14" t="s">
        <v>72</v>
      </c>
      <c r="C27" s="15" t="s">
        <v>62</v>
      </c>
      <c r="D27" s="16"/>
      <c r="E27" s="18"/>
    </row>
    <row r="28" customFormat="false" ht="23.85" hidden="false" customHeight="false" outlineLevel="0" collapsed="false">
      <c r="B28" s="14" t="s">
        <v>73</v>
      </c>
      <c r="C28" s="15" t="s">
        <v>62</v>
      </c>
      <c r="D28" s="16"/>
      <c r="E28" s="18"/>
    </row>
    <row r="29" customFormat="false" ht="23.85" hidden="false" customHeight="false" outlineLevel="0" collapsed="false">
      <c r="B29" s="14" t="s">
        <v>74</v>
      </c>
      <c r="C29" s="15" t="s">
        <v>62</v>
      </c>
      <c r="D29" s="16"/>
      <c r="E29" s="17" t="s">
        <v>63</v>
      </c>
    </row>
    <row r="31" customFormat="false" ht="15" hidden="false" customHeight="false" outlineLevel="0" collapsed="false">
      <c r="B31" s="19" t="s">
        <v>75</v>
      </c>
      <c r="C31" s="20" t="str">
        <f aca="false">IF(OR(C18="Yes",C20="Yes",C21="Yes",C22="Yes",C29="Yes"),"YES - KNOCKOUT","No")</f>
        <v>No</v>
      </c>
      <c r="D31" s="20"/>
      <c r="E31" s="20"/>
      <c r="F31" s="20"/>
    </row>
    <row r="33" customFormat="false" ht="15" hidden="false" customHeight="true" outlineLevel="0" collapsed="false">
      <c r="A33" s="11" t="s">
        <v>76</v>
      </c>
      <c r="B33" s="11"/>
      <c r="C33" s="11"/>
      <c r="D33" s="11"/>
      <c r="E33" s="11"/>
      <c r="F33" s="11"/>
    </row>
    <row r="34" customFormat="false" ht="15" hidden="false" customHeight="false" outlineLevel="0" collapsed="false">
      <c r="B34" s="5" t="s">
        <v>77</v>
      </c>
      <c r="C34" s="5" t="s">
        <v>78</v>
      </c>
      <c r="D34" s="5" t="s">
        <v>79</v>
      </c>
      <c r="E34" s="5" t="s">
        <v>80</v>
      </c>
      <c r="F34" s="5" t="s">
        <v>81</v>
      </c>
    </row>
    <row r="35" customFormat="false" ht="33.75" hidden="false" customHeight="true" outlineLevel="0" collapsed="false">
      <c r="B35" s="21" t="s">
        <v>82</v>
      </c>
      <c r="C35" s="15"/>
      <c r="D35" s="22" t="s">
        <v>83</v>
      </c>
      <c r="E35" s="23" t="n">
        <v>0.25</v>
      </c>
      <c r="F35" s="24" t="n">
        <f aca="false">IF(ISNUMBER(C35),C35*E35,0)</f>
        <v>0</v>
      </c>
    </row>
    <row r="36" customFormat="false" ht="33.75" hidden="false" customHeight="true" outlineLevel="0" collapsed="false">
      <c r="B36" s="21" t="s">
        <v>84</v>
      </c>
      <c r="C36" s="15"/>
      <c r="D36" s="22" t="s">
        <v>85</v>
      </c>
      <c r="E36" s="23" t="n">
        <v>0.2</v>
      </c>
      <c r="F36" s="24" t="n">
        <f aca="false">IF(ISNUMBER(C36),C36*E36,0)</f>
        <v>0</v>
      </c>
    </row>
    <row r="37" customFormat="false" ht="33.75" hidden="false" customHeight="true" outlineLevel="0" collapsed="false">
      <c r="B37" s="21" t="s">
        <v>86</v>
      </c>
      <c r="C37" s="15"/>
      <c r="D37" s="22" t="s">
        <v>87</v>
      </c>
      <c r="E37" s="23" t="n">
        <v>0.2</v>
      </c>
      <c r="F37" s="24" t="n">
        <f aca="false">IF(ISNUMBER(C37),C37*E37,0)</f>
        <v>0</v>
      </c>
    </row>
    <row r="38" customFormat="false" ht="33.75" hidden="false" customHeight="true" outlineLevel="0" collapsed="false">
      <c r="B38" s="21" t="s">
        <v>88</v>
      </c>
      <c r="C38" s="15"/>
      <c r="D38" s="22" t="s">
        <v>89</v>
      </c>
      <c r="E38" s="23" t="n">
        <v>0.15</v>
      </c>
      <c r="F38" s="24" t="n">
        <f aca="false">IF(ISNUMBER(C38),C38*E38,0)</f>
        <v>0</v>
      </c>
    </row>
    <row r="39" customFormat="false" ht="33.75" hidden="false" customHeight="true" outlineLevel="0" collapsed="false">
      <c r="B39" s="21" t="s">
        <v>90</v>
      </c>
      <c r="C39" s="15"/>
      <c r="D39" s="22" t="s">
        <v>91</v>
      </c>
      <c r="E39" s="23" t="n">
        <v>0.1</v>
      </c>
      <c r="F39" s="24" t="n">
        <f aca="false">IF(ISNUMBER(C39),C39*E39,0)</f>
        <v>0</v>
      </c>
    </row>
    <row r="40" customFormat="false" ht="33.75" hidden="false" customHeight="true" outlineLevel="0" collapsed="false">
      <c r="B40" s="21" t="s">
        <v>92</v>
      </c>
      <c r="C40" s="15"/>
      <c r="D40" s="22" t="s">
        <v>93</v>
      </c>
      <c r="E40" s="23" t="n">
        <v>0.1</v>
      </c>
      <c r="F40" s="24" t="n">
        <f aca="false">IF(ISNUMBER(C40),C40*E40,0)</f>
        <v>0</v>
      </c>
    </row>
    <row r="41" customFormat="false" ht="15" hidden="false" customHeight="false" outlineLevel="0" collapsed="false">
      <c r="B41" s="25" t="s">
        <v>94</v>
      </c>
      <c r="E41" s="26" t="n">
        <f aca="false">SUM(E35:E40)</f>
        <v>1</v>
      </c>
    </row>
    <row r="42" customFormat="false" ht="17.35" hidden="false" customHeight="true" outlineLevel="0" collapsed="false">
      <c r="B42" s="6" t="s">
        <v>95</v>
      </c>
      <c r="C42" s="27" t="s">
        <v>96</v>
      </c>
      <c r="D42" s="27"/>
      <c r="E42" s="27"/>
      <c r="F42" s="8" t="n">
        <f aca="false">SUM(F35:F40)</f>
        <v>0</v>
      </c>
    </row>
    <row r="44" customFormat="false" ht="15" hidden="false" customHeight="true" outlineLevel="0" collapsed="false">
      <c r="B44" s="28" t="s">
        <v>42</v>
      </c>
      <c r="C44" s="28"/>
      <c r="D44" s="28"/>
      <c r="E44" s="28"/>
      <c r="F44" s="28"/>
    </row>
    <row r="45" customFormat="false" ht="33.75" hidden="false" customHeight="true" outlineLevel="0" collapsed="false">
      <c r="B45" s="29" t="str">
        <f aca="false">IF(C31="YES - KNOCKOUT","KNOCKOUT - not shortlisted",IF(F42&gt;=3.5,"SHORTLIST - proceed to contract negotiation",IF(F42&gt;0,"BELOW FLOOR - not shortlisted","Awaiting scores")))</f>
        <v>Awaiting scores</v>
      </c>
      <c r="C45" s="29"/>
      <c r="D45" s="29"/>
      <c r="E45" s="29"/>
      <c r="F45" s="29"/>
    </row>
    <row r="47" customFormat="false" ht="15" hidden="false" customHeight="false" outlineLevel="0" collapsed="false">
      <c r="B47" s="12" t="s">
        <v>97</v>
      </c>
      <c r="C47" s="30"/>
      <c r="D47" s="30"/>
      <c r="E47" s="30"/>
      <c r="F47" s="30"/>
    </row>
  </sheetData>
  <mergeCells count="20">
    <mergeCell ref="A1:F2"/>
    <mergeCell ref="A3:F3"/>
    <mergeCell ref="C4:F4"/>
    <mergeCell ref="C5:F5"/>
    <mergeCell ref="C6:F6"/>
    <mergeCell ref="C7:F7"/>
    <mergeCell ref="C8:F8"/>
    <mergeCell ref="C9:F9"/>
    <mergeCell ref="C10:F10"/>
    <mergeCell ref="C11:F11"/>
    <mergeCell ref="C12:F12"/>
    <mergeCell ref="C13:F13"/>
    <mergeCell ref="C14:F14"/>
    <mergeCell ref="A16:F16"/>
    <mergeCell ref="C31:F31"/>
    <mergeCell ref="A33:F33"/>
    <mergeCell ref="C42:E42"/>
    <mergeCell ref="B44:F44"/>
    <mergeCell ref="B45:F45"/>
    <mergeCell ref="C47:F47"/>
  </mergeCells>
  <conditionalFormatting sqref="B45:F45">
    <cfRule type="expression" priority="2" aboveAverage="0" equalAverage="0" bottom="0" percent="0" rank="0" text="" dxfId="0">
      <formula>ISNUMBER(SEARCH("SHORTLIST",$B$45))</formula>
    </cfRule>
    <cfRule type="expression" priority="3" aboveAverage="0" equalAverage="0" bottom="0" percent="0" rank="0" text="" dxfId="1">
      <formula>ISNUMBER(SEARCH("KNOCKOUT",$B$45))</formula>
    </cfRule>
    <cfRule type="expression" priority="4" aboveAverage="0" equalAverage="0" bottom="0" percent="0" rank="0" text="" dxfId="2">
      <formula>ISNUMBER(SEARCH("BELOW FLOOR",$B$45))</formula>
    </cfRule>
  </conditionalFormatting>
  <dataValidations count="2">
    <dataValidation allowBlank="false" errorStyle="stop" operator="between" showDropDown="false" showErrorMessage="false" showInputMessage="false" sqref="C18:C29" type="list">
      <formula1>"Yes,No"</formula1>
      <formula2>0</formula2>
    </dataValidation>
    <dataValidation allowBlank="true" error="Score must be between 1 and 5" errorStyle="stop" errorTitle="Out of range" operator="between" showDropDown="false" showErrorMessage="true" showInputMessage="false" sqref="C35:C40" type="decimal">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2"/>
    <col collapsed="false" customWidth="true" hidden="false" outlineLevel="0" max="4" min="4" style="0" width="60"/>
    <col collapsed="false" customWidth="true" hidden="false" outlineLevel="0" max="5" min="5" style="0" width="10"/>
    <col collapsed="false" customWidth="true" hidden="false" outlineLevel="0" max="6" min="6" style="0" width="12"/>
  </cols>
  <sheetData>
    <row r="1" customFormat="false" ht="15" hidden="false" customHeight="true" outlineLevel="0" collapsed="false">
      <c r="A1" s="1" t="s">
        <v>100</v>
      </c>
      <c r="B1" s="1"/>
      <c r="C1" s="1"/>
      <c r="D1" s="1"/>
      <c r="E1" s="1"/>
      <c r="F1" s="1"/>
    </row>
    <row r="2" customFormat="false" ht="15" hidden="false" customHeight="false" outlineLevel="0" collapsed="false">
      <c r="A2" s="1"/>
      <c r="B2" s="1"/>
      <c r="C2" s="1"/>
      <c r="D2" s="1"/>
      <c r="E2" s="1"/>
      <c r="F2" s="1"/>
    </row>
    <row r="3" customFormat="false" ht="15" hidden="false" customHeight="true" outlineLevel="0" collapsed="false">
      <c r="A3" s="11" t="s">
        <v>45</v>
      </c>
      <c r="B3" s="11"/>
      <c r="C3" s="11"/>
      <c r="D3" s="11"/>
      <c r="E3" s="11"/>
      <c r="F3" s="11"/>
    </row>
    <row r="4" customFormat="false" ht="15" hidden="false" customHeight="false" outlineLevel="0" collapsed="false">
      <c r="B4" s="12" t="s">
        <v>39</v>
      </c>
      <c r="C4" s="13"/>
      <c r="D4" s="13"/>
      <c r="E4" s="13"/>
      <c r="F4" s="13"/>
    </row>
    <row r="5" customFormat="false" ht="15" hidden="false" customHeight="false" outlineLevel="0" collapsed="false">
      <c r="B5" s="12" t="s">
        <v>46</v>
      </c>
      <c r="C5" s="13"/>
      <c r="D5" s="13"/>
      <c r="E5" s="13"/>
      <c r="F5" s="13"/>
    </row>
    <row r="6" customFormat="false" ht="23.85" hidden="false" customHeight="false" outlineLevel="0" collapsed="false">
      <c r="B6" s="12" t="s">
        <v>47</v>
      </c>
      <c r="C6" s="13"/>
      <c r="D6" s="13"/>
      <c r="E6" s="13"/>
      <c r="F6" s="13"/>
    </row>
    <row r="7" customFormat="false" ht="23.85" hidden="false" customHeight="false" outlineLevel="0" collapsed="false">
      <c r="B7" s="12" t="s">
        <v>48</v>
      </c>
      <c r="C7" s="13"/>
      <c r="D7" s="13"/>
      <c r="E7" s="13"/>
      <c r="F7" s="13"/>
    </row>
    <row r="8" customFormat="false" ht="23.85" hidden="false" customHeight="false" outlineLevel="0" collapsed="false">
      <c r="B8" s="12" t="s">
        <v>49</v>
      </c>
      <c r="C8" s="13"/>
      <c r="D8" s="13"/>
      <c r="E8" s="13"/>
      <c r="F8" s="13"/>
    </row>
    <row r="9" customFormat="false" ht="15" hidden="false" customHeight="false" outlineLevel="0" collapsed="false">
      <c r="B9" s="12" t="s">
        <v>50</v>
      </c>
      <c r="C9" s="13"/>
      <c r="D9" s="13"/>
      <c r="E9" s="13"/>
      <c r="F9" s="13"/>
    </row>
    <row r="10" customFormat="false" ht="23.85" hidden="false" customHeight="false" outlineLevel="0" collapsed="false">
      <c r="B10" s="12" t="s">
        <v>51</v>
      </c>
      <c r="C10" s="13"/>
      <c r="D10" s="13"/>
      <c r="E10" s="13"/>
      <c r="F10" s="13"/>
    </row>
    <row r="11" customFormat="false" ht="15" hidden="false" customHeight="false" outlineLevel="0" collapsed="false">
      <c r="B11" s="12" t="s">
        <v>52</v>
      </c>
      <c r="C11" s="13"/>
      <c r="D11" s="13"/>
      <c r="E11" s="13"/>
      <c r="F11" s="13"/>
    </row>
    <row r="12" customFormat="false" ht="23.85" hidden="false" customHeight="false" outlineLevel="0" collapsed="false">
      <c r="B12" s="12" t="s">
        <v>53</v>
      </c>
      <c r="C12" s="13"/>
      <c r="D12" s="13"/>
      <c r="E12" s="13"/>
      <c r="F12" s="13"/>
    </row>
    <row r="13" customFormat="false" ht="15" hidden="false" customHeight="false" outlineLevel="0" collapsed="false">
      <c r="B13" s="12" t="s">
        <v>54</v>
      </c>
      <c r="C13" s="13"/>
      <c r="D13" s="13"/>
      <c r="E13" s="13"/>
      <c r="F13" s="13"/>
    </row>
    <row r="14" customFormat="false" ht="23.85" hidden="false" customHeight="false" outlineLevel="0" collapsed="false">
      <c r="B14" s="12" t="s">
        <v>55</v>
      </c>
      <c r="C14" s="13"/>
      <c r="D14" s="13"/>
      <c r="E14" s="13"/>
      <c r="F14" s="13"/>
    </row>
    <row r="16" customFormat="false" ht="15" hidden="false" customHeight="true" outlineLevel="0" collapsed="false">
      <c r="A16" s="11" t="s">
        <v>56</v>
      </c>
      <c r="B16" s="11"/>
      <c r="C16" s="11"/>
      <c r="D16" s="11"/>
      <c r="E16" s="11"/>
      <c r="F16" s="11"/>
    </row>
    <row r="17" customFormat="false" ht="15" hidden="false" customHeight="false" outlineLevel="0" collapsed="false">
      <c r="B17" s="5" t="s">
        <v>57</v>
      </c>
      <c r="C17" s="5" t="s">
        <v>58</v>
      </c>
      <c r="D17" s="5" t="s">
        <v>59</v>
      </c>
      <c r="E17" s="5" t="s">
        <v>60</v>
      </c>
    </row>
    <row r="18" customFormat="false" ht="23.85" hidden="false" customHeight="false" outlineLevel="0" collapsed="false">
      <c r="B18" s="14" t="s">
        <v>61</v>
      </c>
      <c r="C18" s="15" t="s">
        <v>62</v>
      </c>
      <c r="D18" s="16"/>
      <c r="E18" s="17" t="s">
        <v>63</v>
      </c>
    </row>
    <row r="19" customFormat="false" ht="23.85" hidden="false" customHeight="false" outlineLevel="0" collapsed="false">
      <c r="B19" s="14" t="s">
        <v>64</v>
      </c>
      <c r="C19" s="15" t="s">
        <v>62</v>
      </c>
      <c r="D19" s="16"/>
      <c r="E19" s="18"/>
    </row>
    <row r="20" customFormat="false" ht="23.85" hidden="false" customHeight="false" outlineLevel="0" collapsed="false">
      <c r="B20" s="14" t="s">
        <v>65</v>
      </c>
      <c r="C20" s="15" t="s">
        <v>62</v>
      </c>
      <c r="D20" s="16"/>
      <c r="E20" s="17" t="s">
        <v>63</v>
      </c>
    </row>
    <row r="21" customFormat="false" ht="23.85" hidden="false" customHeight="false" outlineLevel="0" collapsed="false">
      <c r="B21" s="14" t="s">
        <v>66</v>
      </c>
      <c r="C21" s="15" t="s">
        <v>62</v>
      </c>
      <c r="D21" s="16"/>
      <c r="E21" s="17" t="s">
        <v>63</v>
      </c>
    </row>
    <row r="22" customFormat="false" ht="23.85" hidden="false" customHeight="false" outlineLevel="0" collapsed="false">
      <c r="B22" s="14" t="s">
        <v>67</v>
      </c>
      <c r="C22" s="15" t="s">
        <v>62</v>
      </c>
      <c r="D22" s="16"/>
      <c r="E22" s="17" t="s">
        <v>63</v>
      </c>
    </row>
    <row r="23" customFormat="false" ht="23.85" hidden="false" customHeight="false" outlineLevel="0" collapsed="false">
      <c r="B23" s="14" t="s">
        <v>68</v>
      </c>
      <c r="C23" s="15" t="s">
        <v>62</v>
      </c>
      <c r="D23" s="16"/>
      <c r="E23" s="18"/>
    </row>
    <row r="24" customFormat="false" ht="23.85" hidden="false" customHeight="false" outlineLevel="0" collapsed="false">
      <c r="B24" s="14" t="s">
        <v>69</v>
      </c>
      <c r="C24" s="15" t="s">
        <v>62</v>
      </c>
      <c r="D24" s="16"/>
      <c r="E24" s="18"/>
    </row>
    <row r="25" customFormat="false" ht="23.85" hidden="false" customHeight="false" outlineLevel="0" collapsed="false">
      <c r="B25" s="14" t="s">
        <v>70</v>
      </c>
      <c r="C25" s="15" t="s">
        <v>62</v>
      </c>
      <c r="D25" s="16"/>
      <c r="E25" s="18"/>
    </row>
    <row r="26" customFormat="false" ht="23.85" hidden="false" customHeight="false" outlineLevel="0" collapsed="false">
      <c r="B26" s="14" t="s">
        <v>71</v>
      </c>
      <c r="C26" s="15" t="s">
        <v>62</v>
      </c>
      <c r="D26" s="16"/>
      <c r="E26" s="18"/>
    </row>
    <row r="27" customFormat="false" ht="15" hidden="false" customHeight="false" outlineLevel="0" collapsed="false">
      <c r="B27" s="14" t="s">
        <v>72</v>
      </c>
      <c r="C27" s="15" t="s">
        <v>62</v>
      </c>
      <c r="D27" s="16"/>
      <c r="E27" s="18"/>
    </row>
    <row r="28" customFormat="false" ht="23.85" hidden="false" customHeight="false" outlineLevel="0" collapsed="false">
      <c r="B28" s="14" t="s">
        <v>73</v>
      </c>
      <c r="C28" s="15" t="s">
        <v>62</v>
      </c>
      <c r="D28" s="16"/>
      <c r="E28" s="18"/>
    </row>
    <row r="29" customFormat="false" ht="23.85" hidden="false" customHeight="false" outlineLevel="0" collapsed="false">
      <c r="B29" s="14" t="s">
        <v>74</v>
      </c>
      <c r="C29" s="15" t="s">
        <v>62</v>
      </c>
      <c r="D29" s="16"/>
      <c r="E29" s="17" t="s">
        <v>63</v>
      </c>
    </row>
    <row r="31" customFormat="false" ht="15" hidden="false" customHeight="false" outlineLevel="0" collapsed="false">
      <c r="B31" s="19" t="s">
        <v>75</v>
      </c>
      <c r="C31" s="20" t="str">
        <f aca="false">IF(OR(C18="Yes",C20="Yes",C21="Yes",C22="Yes",C29="Yes"),"YES - KNOCKOUT","No")</f>
        <v>No</v>
      </c>
      <c r="D31" s="20"/>
      <c r="E31" s="20"/>
      <c r="F31" s="20"/>
    </row>
    <row r="33" customFormat="false" ht="15" hidden="false" customHeight="true" outlineLevel="0" collapsed="false">
      <c r="A33" s="11" t="s">
        <v>76</v>
      </c>
      <c r="B33" s="11"/>
      <c r="C33" s="11"/>
      <c r="D33" s="11"/>
      <c r="E33" s="11"/>
      <c r="F33" s="11"/>
    </row>
    <row r="34" customFormat="false" ht="15" hidden="false" customHeight="false" outlineLevel="0" collapsed="false">
      <c r="B34" s="5" t="s">
        <v>77</v>
      </c>
      <c r="C34" s="5" t="s">
        <v>78</v>
      </c>
      <c r="D34" s="5" t="s">
        <v>79</v>
      </c>
      <c r="E34" s="5" t="s">
        <v>80</v>
      </c>
      <c r="F34" s="5" t="s">
        <v>81</v>
      </c>
    </row>
    <row r="35" customFormat="false" ht="33.75" hidden="false" customHeight="true" outlineLevel="0" collapsed="false">
      <c r="B35" s="21" t="s">
        <v>82</v>
      </c>
      <c r="C35" s="15"/>
      <c r="D35" s="22" t="s">
        <v>83</v>
      </c>
      <c r="E35" s="23" t="n">
        <v>0.25</v>
      </c>
      <c r="F35" s="24" t="n">
        <f aca="false">IF(ISNUMBER(C35),C35*E35,0)</f>
        <v>0</v>
      </c>
    </row>
    <row r="36" customFormat="false" ht="33.75" hidden="false" customHeight="true" outlineLevel="0" collapsed="false">
      <c r="B36" s="21" t="s">
        <v>84</v>
      </c>
      <c r="C36" s="15"/>
      <c r="D36" s="22" t="s">
        <v>85</v>
      </c>
      <c r="E36" s="23" t="n">
        <v>0.2</v>
      </c>
      <c r="F36" s="24" t="n">
        <f aca="false">IF(ISNUMBER(C36),C36*E36,0)</f>
        <v>0</v>
      </c>
    </row>
    <row r="37" customFormat="false" ht="33.75" hidden="false" customHeight="true" outlineLevel="0" collapsed="false">
      <c r="B37" s="21" t="s">
        <v>86</v>
      </c>
      <c r="C37" s="15"/>
      <c r="D37" s="22" t="s">
        <v>87</v>
      </c>
      <c r="E37" s="23" t="n">
        <v>0.2</v>
      </c>
      <c r="F37" s="24" t="n">
        <f aca="false">IF(ISNUMBER(C37),C37*E37,0)</f>
        <v>0</v>
      </c>
    </row>
    <row r="38" customFormat="false" ht="33.75" hidden="false" customHeight="true" outlineLevel="0" collapsed="false">
      <c r="B38" s="21" t="s">
        <v>88</v>
      </c>
      <c r="C38" s="15"/>
      <c r="D38" s="22" t="s">
        <v>89</v>
      </c>
      <c r="E38" s="23" t="n">
        <v>0.15</v>
      </c>
      <c r="F38" s="24" t="n">
        <f aca="false">IF(ISNUMBER(C38),C38*E38,0)</f>
        <v>0</v>
      </c>
    </row>
    <row r="39" customFormat="false" ht="33.75" hidden="false" customHeight="true" outlineLevel="0" collapsed="false">
      <c r="B39" s="21" t="s">
        <v>90</v>
      </c>
      <c r="C39" s="15"/>
      <c r="D39" s="22" t="s">
        <v>91</v>
      </c>
      <c r="E39" s="23" t="n">
        <v>0.1</v>
      </c>
      <c r="F39" s="24" t="n">
        <f aca="false">IF(ISNUMBER(C39),C39*E39,0)</f>
        <v>0</v>
      </c>
    </row>
    <row r="40" customFormat="false" ht="33.75" hidden="false" customHeight="true" outlineLevel="0" collapsed="false">
      <c r="B40" s="21" t="s">
        <v>92</v>
      </c>
      <c r="C40" s="15"/>
      <c r="D40" s="22" t="s">
        <v>93</v>
      </c>
      <c r="E40" s="23" t="n">
        <v>0.1</v>
      </c>
      <c r="F40" s="24" t="n">
        <f aca="false">IF(ISNUMBER(C40),C40*E40,0)</f>
        <v>0</v>
      </c>
    </row>
    <row r="41" customFormat="false" ht="15" hidden="false" customHeight="false" outlineLevel="0" collapsed="false">
      <c r="B41" s="25" t="s">
        <v>94</v>
      </c>
      <c r="E41" s="26" t="n">
        <f aca="false">SUM(E35:E40)</f>
        <v>1</v>
      </c>
    </row>
    <row r="42" customFormat="false" ht="17.35" hidden="false" customHeight="true" outlineLevel="0" collapsed="false">
      <c r="B42" s="6" t="s">
        <v>95</v>
      </c>
      <c r="C42" s="27" t="s">
        <v>96</v>
      </c>
      <c r="D42" s="27"/>
      <c r="E42" s="27"/>
      <c r="F42" s="8" t="n">
        <f aca="false">SUM(F35:F40)</f>
        <v>0</v>
      </c>
    </row>
    <row r="44" customFormat="false" ht="15" hidden="false" customHeight="true" outlineLevel="0" collapsed="false">
      <c r="B44" s="28" t="s">
        <v>42</v>
      </c>
      <c r="C44" s="28"/>
      <c r="D44" s="28"/>
      <c r="E44" s="28"/>
      <c r="F44" s="28"/>
    </row>
    <row r="45" customFormat="false" ht="33.75" hidden="false" customHeight="true" outlineLevel="0" collapsed="false">
      <c r="B45" s="29" t="str">
        <f aca="false">IF(C31="YES - KNOCKOUT","KNOCKOUT - not shortlisted",IF(F42&gt;=3.5,"SHORTLIST - proceed to contract negotiation",IF(F42&gt;0,"BELOW FLOOR - not shortlisted","Awaiting scores")))</f>
        <v>Awaiting scores</v>
      </c>
      <c r="C45" s="29"/>
      <c r="D45" s="29"/>
      <c r="E45" s="29"/>
      <c r="F45" s="29"/>
    </row>
    <row r="47" customFormat="false" ht="15" hidden="false" customHeight="false" outlineLevel="0" collapsed="false">
      <c r="B47" s="12" t="s">
        <v>97</v>
      </c>
      <c r="C47" s="30"/>
      <c r="D47" s="30"/>
      <c r="E47" s="30"/>
      <c r="F47" s="30"/>
    </row>
  </sheetData>
  <mergeCells count="20">
    <mergeCell ref="A1:F2"/>
    <mergeCell ref="A3:F3"/>
    <mergeCell ref="C4:F4"/>
    <mergeCell ref="C5:F5"/>
    <mergeCell ref="C6:F6"/>
    <mergeCell ref="C7:F7"/>
    <mergeCell ref="C8:F8"/>
    <mergeCell ref="C9:F9"/>
    <mergeCell ref="C10:F10"/>
    <mergeCell ref="C11:F11"/>
    <mergeCell ref="C12:F12"/>
    <mergeCell ref="C13:F13"/>
    <mergeCell ref="C14:F14"/>
    <mergeCell ref="A16:F16"/>
    <mergeCell ref="C31:F31"/>
    <mergeCell ref="A33:F33"/>
    <mergeCell ref="C42:E42"/>
    <mergeCell ref="B44:F44"/>
    <mergeCell ref="B45:F45"/>
    <mergeCell ref="C47:F47"/>
  </mergeCells>
  <conditionalFormatting sqref="B45:F45">
    <cfRule type="expression" priority="2" aboveAverage="0" equalAverage="0" bottom="0" percent="0" rank="0" text="" dxfId="0">
      <formula>ISNUMBER(SEARCH("SHORTLIST",$B$45))</formula>
    </cfRule>
    <cfRule type="expression" priority="3" aboveAverage="0" equalAverage="0" bottom="0" percent="0" rank="0" text="" dxfId="1">
      <formula>ISNUMBER(SEARCH("KNOCKOUT",$B$45))</formula>
    </cfRule>
    <cfRule type="expression" priority="4" aboveAverage="0" equalAverage="0" bottom="0" percent="0" rank="0" text="" dxfId="2">
      <formula>ISNUMBER(SEARCH("BELOW FLOOR",$B$45))</formula>
    </cfRule>
  </conditionalFormatting>
  <dataValidations count="2">
    <dataValidation allowBlank="false" errorStyle="stop" operator="between" showDropDown="false" showErrorMessage="false" showInputMessage="false" sqref="C18:C29" type="list">
      <formula1>"Yes,No"</formula1>
      <formula2>0</formula2>
    </dataValidation>
    <dataValidation allowBlank="true" error="Score must be between 1 and 5" errorStyle="stop" errorTitle="Out of range" operator="between" showDropDown="false" showErrorMessage="true" showInputMessage="false" sqref="C35:C40" type="decimal">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6"/>
    <col collapsed="false" customWidth="true" hidden="false" outlineLevel="0" max="3" min="3" style="0" width="45"/>
    <col collapsed="false" customWidth="true" hidden="false" outlineLevel="0" max="4" min="4" style="0" width="58"/>
    <col collapsed="false" customWidth="true" hidden="false" outlineLevel="0" max="5" min="5" style="0" width="14"/>
  </cols>
  <sheetData>
    <row r="1" customFormat="false" ht="15" hidden="false" customHeight="true" outlineLevel="0" collapsed="false">
      <c r="A1" s="1" t="s">
        <v>101</v>
      </c>
      <c r="B1" s="1"/>
      <c r="C1" s="1"/>
      <c r="D1" s="1"/>
      <c r="E1" s="1"/>
    </row>
    <row r="2" customFormat="false" ht="15" hidden="false" customHeight="false" outlineLevel="0" collapsed="false">
      <c r="A2" s="1"/>
      <c r="B2" s="1"/>
      <c r="C2" s="1"/>
      <c r="D2" s="1"/>
      <c r="E2" s="1"/>
    </row>
    <row r="4" customFormat="false" ht="15" hidden="false" customHeight="false" outlineLevel="0" collapsed="false">
      <c r="B4" s="5" t="s">
        <v>102</v>
      </c>
      <c r="C4" s="5" t="s">
        <v>57</v>
      </c>
      <c r="D4" s="5" t="s">
        <v>103</v>
      </c>
      <c r="E4" s="5" t="s">
        <v>104</v>
      </c>
    </row>
    <row r="5" customFormat="false" ht="37.5" hidden="false" customHeight="true" outlineLevel="0" collapsed="false">
      <c r="B5" s="18" t="n">
        <v>1</v>
      </c>
      <c r="C5" s="31" t="s">
        <v>105</v>
      </c>
      <c r="D5" s="31" t="s">
        <v>106</v>
      </c>
      <c r="E5" s="17" t="s">
        <v>63</v>
      </c>
    </row>
    <row r="6" customFormat="false" ht="37.5" hidden="false" customHeight="true" outlineLevel="0" collapsed="false">
      <c r="B6" s="18" t="n">
        <v>2</v>
      </c>
      <c r="C6" s="31" t="s">
        <v>107</v>
      </c>
      <c r="D6" s="31" t="s">
        <v>108</v>
      </c>
      <c r="E6" s="5" t="s">
        <v>109</v>
      </c>
    </row>
    <row r="7" customFormat="false" ht="37.5" hidden="false" customHeight="true" outlineLevel="0" collapsed="false">
      <c r="B7" s="18" t="n">
        <v>3</v>
      </c>
      <c r="C7" s="31" t="s">
        <v>110</v>
      </c>
      <c r="D7" s="31" t="s">
        <v>111</v>
      </c>
      <c r="E7" s="17" t="s">
        <v>63</v>
      </c>
    </row>
    <row r="8" customFormat="false" ht="37.5" hidden="false" customHeight="true" outlineLevel="0" collapsed="false">
      <c r="B8" s="18" t="n">
        <v>4</v>
      </c>
      <c r="C8" s="31" t="s">
        <v>112</v>
      </c>
      <c r="D8" s="31" t="s">
        <v>113</v>
      </c>
      <c r="E8" s="17" t="s">
        <v>63</v>
      </c>
    </row>
    <row r="9" customFormat="false" ht="37.5" hidden="false" customHeight="true" outlineLevel="0" collapsed="false">
      <c r="B9" s="18" t="n">
        <v>5</v>
      </c>
      <c r="C9" s="31" t="s">
        <v>114</v>
      </c>
      <c r="D9" s="31" t="s">
        <v>115</v>
      </c>
      <c r="E9" s="17" t="s">
        <v>63</v>
      </c>
    </row>
    <row r="10" customFormat="false" ht="37.5" hidden="false" customHeight="true" outlineLevel="0" collapsed="false">
      <c r="B10" s="18" t="n">
        <v>6</v>
      </c>
      <c r="C10" s="31" t="s">
        <v>116</v>
      </c>
      <c r="D10" s="31" t="s">
        <v>117</v>
      </c>
      <c r="E10" s="5" t="s">
        <v>109</v>
      </c>
    </row>
    <row r="11" customFormat="false" ht="37.5" hidden="false" customHeight="true" outlineLevel="0" collapsed="false">
      <c r="B11" s="18" t="n">
        <v>7</v>
      </c>
      <c r="C11" s="31" t="s">
        <v>118</v>
      </c>
      <c r="D11" s="31" t="s">
        <v>119</v>
      </c>
      <c r="E11" s="5" t="s">
        <v>109</v>
      </c>
    </row>
    <row r="12" customFormat="false" ht="37.5" hidden="false" customHeight="true" outlineLevel="0" collapsed="false">
      <c r="B12" s="18" t="n">
        <v>8</v>
      </c>
      <c r="C12" s="31" t="s">
        <v>120</v>
      </c>
      <c r="D12" s="31" t="s">
        <v>121</v>
      </c>
      <c r="E12" s="5" t="s">
        <v>109</v>
      </c>
    </row>
    <row r="13" customFormat="false" ht="37.5" hidden="false" customHeight="true" outlineLevel="0" collapsed="false">
      <c r="B13" s="18" t="n">
        <v>9</v>
      </c>
      <c r="C13" s="31" t="s">
        <v>122</v>
      </c>
      <c r="D13" s="31" t="s">
        <v>123</v>
      </c>
      <c r="E13" s="5" t="s">
        <v>109</v>
      </c>
    </row>
    <row r="14" customFormat="false" ht="37.5" hidden="false" customHeight="true" outlineLevel="0" collapsed="false">
      <c r="B14" s="18" t="n">
        <v>10</v>
      </c>
      <c r="C14" s="31" t="s">
        <v>124</v>
      </c>
      <c r="D14" s="31" t="s">
        <v>125</v>
      </c>
      <c r="E14" s="5" t="s">
        <v>109</v>
      </c>
    </row>
    <row r="15" customFormat="false" ht="37.5" hidden="false" customHeight="true" outlineLevel="0" collapsed="false">
      <c r="B15" s="18" t="n">
        <v>11</v>
      </c>
      <c r="C15" s="31" t="s">
        <v>126</v>
      </c>
      <c r="D15" s="31" t="s">
        <v>127</v>
      </c>
      <c r="E15" s="5" t="s">
        <v>109</v>
      </c>
    </row>
    <row r="16" customFormat="false" ht="37.5" hidden="false" customHeight="true" outlineLevel="0" collapsed="false">
      <c r="B16" s="18" t="n">
        <v>12</v>
      </c>
      <c r="C16" s="31" t="s">
        <v>128</v>
      </c>
      <c r="D16" s="31" t="s">
        <v>129</v>
      </c>
      <c r="E16" s="17" t="s">
        <v>63</v>
      </c>
    </row>
  </sheetData>
  <mergeCells count="1">
    <mergeCell ref="A1: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
    <col collapsed="false" customWidth="true" hidden="false" outlineLevel="0" max="3" min="3" style="0" width="110"/>
  </cols>
  <sheetData>
    <row r="1" customFormat="false" ht="15" hidden="false" customHeight="true" outlineLevel="0" collapsed="false">
      <c r="A1" s="1" t="s">
        <v>130</v>
      </c>
      <c r="B1" s="1"/>
      <c r="C1" s="1"/>
    </row>
    <row r="2" customFormat="false" ht="15" hidden="false" customHeight="false" outlineLevel="0" collapsed="false">
      <c r="A2" s="1"/>
      <c r="B2" s="1"/>
      <c r="C2" s="1"/>
    </row>
    <row r="4" customFormat="false" ht="21.75" hidden="false" customHeight="true" outlineLevel="0" collapsed="false">
      <c r="A4" s="11" t="s">
        <v>131</v>
      </c>
      <c r="B4" s="11"/>
      <c r="C4" s="11"/>
    </row>
    <row r="5" customFormat="false" ht="15" hidden="false" customHeight="true" outlineLevel="0" collapsed="false">
      <c r="B5" s="32" t="s">
        <v>132</v>
      </c>
      <c r="C5" s="32"/>
    </row>
    <row r="6" customFormat="false" ht="31.5" hidden="false" customHeight="true" outlineLevel="0" collapsed="false">
      <c r="B6" s="33" t="n">
        <v>1</v>
      </c>
      <c r="C6" s="4" t="s">
        <v>133</v>
      </c>
    </row>
    <row r="7" customFormat="false" ht="31.5" hidden="false" customHeight="true" outlineLevel="0" collapsed="false">
      <c r="B7" s="33" t="n">
        <v>2</v>
      </c>
      <c r="C7" s="4" t="s">
        <v>134</v>
      </c>
    </row>
    <row r="8" customFormat="false" ht="31.5" hidden="false" customHeight="true" outlineLevel="0" collapsed="false">
      <c r="B8" s="33" t="n">
        <v>3</v>
      </c>
      <c r="C8" s="4" t="s">
        <v>135</v>
      </c>
    </row>
    <row r="9" customFormat="false" ht="15" hidden="false" customHeight="true" outlineLevel="0" collapsed="false">
      <c r="B9" s="32" t="s">
        <v>136</v>
      </c>
      <c r="C9" s="32"/>
    </row>
    <row r="10" customFormat="false" ht="31.5" hidden="false" customHeight="true" outlineLevel="0" collapsed="false">
      <c r="B10" s="33" t="n">
        <v>4</v>
      </c>
      <c r="C10" s="4" t="s">
        <v>137</v>
      </c>
    </row>
    <row r="11" customFormat="false" ht="31.5" hidden="false" customHeight="true" outlineLevel="0" collapsed="false">
      <c r="B11" s="33" t="n">
        <v>5</v>
      </c>
      <c r="C11" s="4" t="s">
        <v>138</v>
      </c>
    </row>
    <row r="12" customFormat="false" ht="31.5" hidden="false" customHeight="true" outlineLevel="0" collapsed="false">
      <c r="B12" s="33" t="n">
        <v>6</v>
      </c>
      <c r="C12" s="4" t="s">
        <v>139</v>
      </c>
    </row>
    <row r="13" customFormat="false" ht="31.5" hidden="false" customHeight="true" outlineLevel="0" collapsed="false">
      <c r="B13" s="33" t="n">
        <v>7</v>
      </c>
      <c r="C13" s="4" t="s">
        <v>140</v>
      </c>
    </row>
    <row r="14" customFormat="false" ht="15" hidden="false" customHeight="true" outlineLevel="0" collapsed="false">
      <c r="B14" s="32" t="s">
        <v>141</v>
      </c>
      <c r="C14" s="32"/>
    </row>
    <row r="15" customFormat="false" ht="31.5" hidden="false" customHeight="true" outlineLevel="0" collapsed="false">
      <c r="B15" s="33" t="n">
        <v>8</v>
      </c>
      <c r="C15" s="4" t="s">
        <v>142</v>
      </c>
    </row>
    <row r="16" customFormat="false" ht="31.5" hidden="false" customHeight="true" outlineLevel="0" collapsed="false">
      <c r="B16" s="33" t="n">
        <v>9</v>
      </c>
      <c r="C16" s="4" t="s">
        <v>143</v>
      </c>
    </row>
    <row r="17" customFormat="false" ht="31.5" hidden="false" customHeight="true" outlineLevel="0" collapsed="false">
      <c r="B17" s="33" t="n">
        <v>10</v>
      </c>
      <c r="C17" s="4" t="s">
        <v>144</v>
      </c>
    </row>
    <row r="18" customFormat="false" ht="15" hidden="false" customHeight="true" outlineLevel="0" collapsed="false">
      <c r="B18" s="32" t="s">
        <v>145</v>
      </c>
      <c r="C18" s="32"/>
    </row>
    <row r="19" customFormat="false" ht="31.5" hidden="false" customHeight="true" outlineLevel="0" collapsed="false">
      <c r="B19" s="33" t="n">
        <v>11</v>
      </c>
      <c r="C19" s="4" t="s">
        <v>146</v>
      </c>
    </row>
    <row r="20" customFormat="false" ht="31.5" hidden="false" customHeight="true" outlineLevel="0" collapsed="false">
      <c r="B20" s="33" t="n">
        <v>12</v>
      </c>
      <c r="C20" s="4" t="s">
        <v>147</v>
      </c>
    </row>
    <row r="21" customFormat="false" ht="31.5" hidden="false" customHeight="true" outlineLevel="0" collapsed="false">
      <c r="B21" s="33" t="n">
        <v>13</v>
      </c>
      <c r="C21" s="4" t="s">
        <v>148</v>
      </c>
    </row>
    <row r="23" customFormat="false" ht="21.75" hidden="false" customHeight="true" outlineLevel="0" collapsed="false">
      <c r="A23" s="11" t="s">
        <v>149</v>
      </c>
      <c r="B23" s="11"/>
      <c r="C23" s="11"/>
    </row>
    <row r="24" customFormat="false" ht="15" hidden="false" customHeight="true" outlineLevel="0" collapsed="false">
      <c r="B24" s="32" t="s">
        <v>150</v>
      </c>
      <c r="C24" s="32"/>
    </row>
    <row r="25" customFormat="false" ht="60" hidden="false" customHeight="true" outlineLevel="0" collapsed="false">
      <c r="B25" s="34" t="s">
        <v>151</v>
      </c>
      <c r="C25" s="34"/>
    </row>
    <row r="26" customFormat="false" ht="15" hidden="false" customHeight="true" outlineLevel="0" collapsed="false">
      <c r="B26" s="32" t="s">
        <v>152</v>
      </c>
      <c r="C26" s="32"/>
    </row>
    <row r="27" customFormat="false" ht="31.5" hidden="false" customHeight="true" outlineLevel="0" collapsed="false">
      <c r="B27" s="33" t="n">
        <v>1</v>
      </c>
      <c r="C27" s="4" t="s">
        <v>153</v>
      </c>
    </row>
    <row r="28" customFormat="false" ht="31.5" hidden="false" customHeight="true" outlineLevel="0" collapsed="false">
      <c r="B28" s="33" t="n">
        <v>2</v>
      </c>
      <c r="C28" s="4" t="s">
        <v>154</v>
      </c>
    </row>
    <row r="29" customFormat="false" ht="31.5" hidden="false" customHeight="true" outlineLevel="0" collapsed="false">
      <c r="B29" s="33" t="n">
        <v>3</v>
      </c>
      <c r="C29" s="4" t="s">
        <v>155</v>
      </c>
    </row>
    <row r="30" customFormat="false" ht="15" hidden="false" customHeight="true" outlineLevel="0" collapsed="false">
      <c r="B30" s="32" t="s">
        <v>156</v>
      </c>
      <c r="C30" s="32"/>
    </row>
    <row r="31" customFormat="false" ht="31.5" hidden="false" customHeight="true" outlineLevel="0" collapsed="false">
      <c r="B31" s="33" t="n">
        <v>4</v>
      </c>
      <c r="C31" s="4" t="s">
        <v>157</v>
      </c>
    </row>
    <row r="32" customFormat="false" ht="31.5" hidden="false" customHeight="true" outlineLevel="0" collapsed="false">
      <c r="B32" s="33" t="n">
        <v>5</v>
      </c>
      <c r="C32" s="4" t="s">
        <v>158</v>
      </c>
    </row>
    <row r="33" customFormat="false" ht="31.5" hidden="false" customHeight="true" outlineLevel="0" collapsed="false">
      <c r="B33" s="33" t="n">
        <v>6</v>
      </c>
      <c r="C33" s="4" t="s">
        <v>159</v>
      </c>
    </row>
    <row r="34" customFormat="false" ht="31.5" hidden="false" customHeight="true" outlineLevel="0" collapsed="false">
      <c r="B34" s="33" t="n">
        <v>7</v>
      </c>
      <c r="C34" s="4" t="s">
        <v>160</v>
      </c>
    </row>
    <row r="35" customFormat="false" ht="15" hidden="false" customHeight="true" outlineLevel="0" collapsed="false">
      <c r="B35" s="32" t="s">
        <v>161</v>
      </c>
      <c r="C35" s="32"/>
    </row>
    <row r="36" customFormat="false" ht="31.5" hidden="false" customHeight="true" outlineLevel="0" collapsed="false">
      <c r="B36" s="33" t="n">
        <v>8</v>
      </c>
      <c r="C36" s="4" t="s">
        <v>162</v>
      </c>
    </row>
    <row r="37" customFormat="false" ht="31.5" hidden="false" customHeight="true" outlineLevel="0" collapsed="false">
      <c r="B37" s="33" t="n">
        <v>9</v>
      </c>
      <c r="C37" s="4" t="s">
        <v>163</v>
      </c>
    </row>
    <row r="38" customFormat="false" ht="31.5" hidden="false" customHeight="true" outlineLevel="0" collapsed="false">
      <c r="B38" s="33" t="n">
        <v>10</v>
      </c>
      <c r="C38" s="4" t="s">
        <v>164</v>
      </c>
    </row>
    <row r="39" customFormat="false" ht="15" hidden="false" customHeight="true" outlineLevel="0" collapsed="false">
      <c r="B39" s="32" t="s">
        <v>165</v>
      </c>
      <c r="C39" s="32"/>
    </row>
    <row r="40" customFormat="false" ht="31.5" hidden="false" customHeight="true" outlineLevel="0" collapsed="false">
      <c r="B40" s="33" t="n">
        <v>11</v>
      </c>
      <c r="C40" s="4" t="s">
        <v>166</v>
      </c>
    </row>
    <row r="41" customFormat="false" ht="31.5" hidden="false" customHeight="true" outlineLevel="0" collapsed="false">
      <c r="B41" s="33" t="n">
        <v>12</v>
      </c>
      <c r="C41" s="4" t="s">
        <v>167</v>
      </c>
    </row>
    <row r="42" customFormat="false" ht="15" hidden="false" customHeight="true" outlineLevel="0" collapsed="false">
      <c r="B42" s="32" t="s">
        <v>168</v>
      </c>
      <c r="C42" s="32"/>
    </row>
    <row r="43" customFormat="false" ht="31.5" hidden="false" customHeight="true" outlineLevel="0" collapsed="false">
      <c r="B43" s="33" t="n">
        <v>13</v>
      </c>
      <c r="C43" s="4" t="s">
        <v>169</v>
      </c>
    </row>
    <row r="44" customFormat="false" ht="31.5" hidden="false" customHeight="true" outlineLevel="0" collapsed="false">
      <c r="B44" s="33" t="n">
        <v>14</v>
      </c>
      <c r="C44" s="4" t="s">
        <v>170</v>
      </c>
    </row>
    <row r="46" customFormat="false" ht="21.75" hidden="false" customHeight="true" outlineLevel="0" collapsed="false">
      <c r="A46" s="11" t="s">
        <v>171</v>
      </c>
      <c r="B46" s="11"/>
      <c r="C46" s="11"/>
    </row>
    <row r="47" customFormat="false" ht="15" hidden="false" customHeight="true" outlineLevel="0" collapsed="false">
      <c r="B47" s="32" t="s">
        <v>172</v>
      </c>
      <c r="C47" s="32"/>
    </row>
    <row r="48" customFormat="false" ht="31.5" hidden="false" customHeight="true" outlineLevel="0" collapsed="false">
      <c r="B48" s="33" t="n">
        <v>1</v>
      </c>
      <c r="C48" s="4" t="s">
        <v>173</v>
      </c>
    </row>
    <row r="49" customFormat="false" ht="31.5" hidden="false" customHeight="true" outlineLevel="0" collapsed="false">
      <c r="B49" s="33" t="n">
        <v>2</v>
      </c>
      <c r="C49" s="4" t="s">
        <v>174</v>
      </c>
    </row>
    <row r="50" customFormat="false" ht="31.5" hidden="false" customHeight="true" outlineLevel="0" collapsed="false">
      <c r="B50" s="33" t="n">
        <v>3</v>
      </c>
      <c r="C50" s="4" t="s">
        <v>175</v>
      </c>
    </row>
    <row r="51" customFormat="false" ht="15" hidden="false" customHeight="true" outlineLevel="0" collapsed="false">
      <c r="B51" s="32" t="s">
        <v>176</v>
      </c>
      <c r="C51" s="32"/>
    </row>
    <row r="52" customFormat="false" ht="31.5" hidden="false" customHeight="true" outlineLevel="0" collapsed="false">
      <c r="B52" s="33" t="n">
        <v>4</v>
      </c>
      <c r="C52" s="4" t="s">
        <v>177</v>
      </c>
    </row>
    <row r="53" customFormat="false" ht="31.5" hidden="false" customHeight="true" outlineLevel="0" collapsed="false">
      <c r="B53" s="33" t="n">
        <v>5</v>
      </c>
      <c r="C53" s="4" t="s">
        <v>178</v>
      </c>
    </row>
    <row r="54" customFormat="false" ht="31.5" hidden="false" customHeight="true" outlineLevel="0" collapsed="false">
      <c r="B54" s="33" t="n">
        <v>6</v>
      </c>
      <c r="C54" s="4" t="s">
        <v>179</v>
      </c>
    </row>
    <row r="55" customFormat="false" ht="31.5" hidden="false" customHeight="true" outlineLevel="0" collapsed="false">
      <c r="B55" s="33" t="n">
        <v>7</v>
      </c>
      <c r="C55" s="4" t="s">
        <v>180</v>
      </c>
    </row>
    <row r="56" customFormat="false" ht="15" hidden="false" customHeight="true" outlineLevel="0" collapsed="false">
      <c r="B56" s="32" t="s">
        <v>181</v>
      </c>
      <c r="C56" s="32"/>
    </row>
    <row r="57" customFormat="false" ht="31.5" hidden="false" customHeight="true" outlineLevel="0" collapsed="false">
      <c r="B57" s="33" t="n">
        <v>8</v>
      </c>
      <c r="C57" s="4" t="s">
        <v>182</v>
      </c>
    </row>
    <row r="58" customFormat="false" ht="31.5" hidden="false" customHeight="true" outlineLevel="0" collapsed="false">
      <c r="B58" s="33" t="n">
        <v>9</v>
      </c>
      <c r="C58" s="4" t="s">
        <v>183</v>
      </c>
    </row>
    <row r="59" customFormat="false" ht="31.5" hidden="false" customHeight="true" outlineLevel="0" collapsed="false">
      <c r="B59" s="33" t="n">
        <v>10</v>
      </c>
      <c r="C59" s="4" t="s">
        <v>184</v>
      </c>
    </row>
    <row r="60" customFormat="false" ht="15" hidden="false" customHeight="true" outlineLevel="0" collapsed="false">
      <c r="B60" s="32" t="s">
        <v>185</v>
      </c>
      <c r="C60" s="32"/>
    </row>
    <row r="61" customFormat="false" ht="31.5" hidden="false" customHeight="true" outlineLevel="0" collapsed="false">
      <c r="B61" s="33" t="n">
        <v>11</v>
      </c>
      <c r="C61" s="4" t="s">
        <v>186</v>
      </c>
    </row>
    <row r="62" customFormat="false" ht="31.5" hidden="false" customHeight="true" outlineLevel="0" collapsed="false">
      <c r="B62" s="33" t="n">
        <v>12</v>
      </c>
      <c r="C62" s="4" t="s">
        <v>187</v>
      </c>
    </row>
    <row r="63" customFormat="false" ht="31.5" hidden="false" customHeight="true" outlineLevel="0" collapsed="false">
      <c r="B63" s="33" t="n">
        <v>13</v>
      </c>
      <c r="C63" s="4" t="s">
        <v>188</v>
      </c>
    </row>
  </sheetData>
  <mergeCells count="19">
    <mergeCell ref="A1:C2"/>
    <mergeCell ref="A4:C4"/>
    <mergeCell ref="B5:C5"/>
    <mergeCell ref="B9:C9"/>
    <mergeCell ref="B14:C14"/>
    <mergeCell ref="B18:C18"/>
    <mergeCell ref="A23:C23"/>
    <mergeCell ref="B24:C24"/>
    <mergeCell ref="B25:C25"/>
    <mergeCell ref="B26:C26"/>
    <mergeCell ref="B30:C30"/>
    <mergeCell ref="B35:C35"/>
    <mergeCell ref="B39:C39"/>
    <mergeCell ref="B42:C42"/>
    <mergeCell ref="A46:C46"/>
    <mergeCell ref="B47:C47"/>
    <mergeCell ref="B51:C51"/>
    <mergeCell ref="B56:C56"/>
    <mergeCell ref="B60:C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2026-04-21T08:46:39Z</dcterms:created>
  <dc:creator>openpyxl</dc:creator>
  <dc:description/>
  <dc:language>en-US</dc:language>
  <cp:lastModifiedBy/>
  <dcterms:modified xsi:type="dcterms:W3CDTF">2026-04-21T08:46:39Z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